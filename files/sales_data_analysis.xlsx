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F9CE775ECEDE9F1D7F0EABF27BE19775CBAB9B0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판매데이터" sheetId="1" r:id="rId1"/>
    <sheet name="정제본" sheetId="2" r:id="rId2"/>
    <sheet name="변경 내역" sheetId="3" r:id="rId3"/>
    <sheet name="품목TOP5" sheetId="4" r:id="rId4"/>
    <sheet name="매장월별매출" sheetId="5" r:id="rId5"/>
    <sheet name="농가별정산" sheetId="6" r:id="rId6"/>
    <sheet name="그래프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2" l="1"/>
  <c r="J79" i="2" s="1"/>
  <c r="H78" i="2"/>
  <c r="J78" i="2" s="1"/>
  <c r="H77" i="2"/>
  <c r="J77" i="2" s="1"/>
  <c r="H76" i="2"/>
  <c r="J76" i="2" s="1"/>
  <c r="H75" i="2"/>
  <c r="J75" i="2" s="1"/>
  <c r="H74" i="2"/>
  <c r="J74" i="2" s="1"/>
  <c r="H73" i="2"/>
  <c r="J73" i="2" s="1"/>
  <c r="H72" i="2"/>
  <c r="J72" i="2" s="1"/>
  <c r="H71" i="2"/>
  <c r="J71" i="2" s="1"/>
  <c r="J70" i="2"/>
  <c r="H70" i="2"/>
  <c r="H69" i="2"/>
  <c r="J69" i="2" s="1"/>
  <c r="H68" i="2"/>
  <c r="J68" i="2" s="1"/>
  <c r="H67" i="2"/>
  <c r="J67" i="2" s="1"/>
  <c r="H66" i="2"/>
  <c r="J66" i="2" s="1"/>
  <c r="H65" i="2"/>
  <c r="J65" i="2" s="1"/>
  <c r="H64" i="2"/>
  <c r="J64" i="2" s="1"/>
  <c r="H63" i="2"/>
  <c r="J63" i="2" s="1"/>
  <c r="H62" i="2"/>
  <c r="J62" i="2" s="1"/>
  <c r="H61" i="2"/>
  <c r="J61" i="2" s="1"/>
  <c r="J60" i="2"/>
  <c r="H60" i="2"/>
  <c r="H59" i="2"/>
  <c r="J59" i="2" s="1"/>
  <c r="H58" i="2"/>
  <c r="J58" i="2" s="1"/>
  <c r="H57" i="2"/>
  <c r="J57" i="2" s="1"/>
  <c r="H56" i="2"/>
  <c r="J56" i="2" s="1"/>
  <c r="H55" i="2"/>
  <c r="J55" i="2" s="1"/>
  <c r="H54" i="2"/>
  <c r="J54" i="2" s="1"/>
  <c r="H53" i="2"/>
  <c r="J53" i="2" s="1"/>
  <c r="H52" i="2"/>
  <c r="J52" i="2" s="1"/>
  <c r="H51" i="2"/>
  <c r="J51" i="2" s="1"/>
  <c r="H50" i="2"/>
  <c r="J50" i="2" s="1"/>
  <c r="H49" i="2"/>
  <c r="J49" i="2" s="1"/>
  <c r="H48" i="2"/>
  <c r="J48" i="2" s="1"/>
  <c r="H47" i="2"/>
  <c r="J47" i="2" s="1"/>
  <c r="H46" i="2"/>
  <c r="J46" i="2" s="1"/>
  <c r="H45" i="2"/>
  <c r="J45" i="2" s="1"/>
  <c r="H44" i="2"/>
  <c r="J44" i="2" s="1"/>
  <c r="H43" i="2"/>
  <c r="J43" i="2" s="1"/>
  <c r="H42" i="2"/>
  <c r="J42" i="2" s="1"/>
  <c r="H41" i="2"/>
  <c r="J41" i="2" s="1"/>
  <c r="H40" i="2"/>
  <c r="J40" i="2" s="1"/>
  <c r="H39" i="2"/>
  <c r="J39" i="2" s="1"/>
  <c r="H38" i="2"/>
  <c r="J38" i="2" s="1"/>
  <c r="H37" i="2"/>
  <c r="J37" i="2" s="1"/>
  <c r="H36" i="2"/>
  <c r="J36" i="2" s="1"/>
  <c r="H35" i="2"/>
  <c r="J35" i="2" s="1"/>
  <c r="H34" i="2"/>
  <c r="J34" i="2" s="1"/>
  <c r="H33" i="2"/>
  <c r="J33" i="2" s="1"/>
  <c r="H32" i="2"/>
  <c r="J32" i="2" s="1"/>
  <c r="J31" i="2"/>
  <c r="H31" i="2"/>
  <c r="H30" i="2"/>
  <c r="J30" i="2" s="1"/>
  <c r="H29" i="2"/>
  <c r="J29" i="2" s="1"/>
  <c r="H28" i="2"/>
  <c r="J28" i="2" s="1"/>
  <c r="H27" i="2"/>
  <c r="J27" i="2" s="1"/>
  <c r="H26" i="2"/>
  <c r="J26" i="2" s="1"/>
  <c r="H25" i="2"/>
  <c r="J25" i="2" s="1"/>
  <c r="H24" i="2"/>
  <c r="J24" i="2" s="1"/>
  <c r="H23" i="2"/>
  <c r="J23" i="2" s="1"/>
  <c r="H22" i="2"/>
  <c r="J22" i="2" s="1"/>
  <c r="J21" i="2"/>
  <c r="H21" i="2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H7" i="2"/>
  <c r="J7" i="2" s="1"/>
  <c r="H6" i="2"/>
  <c r="J6" i="2" s="1"/>
  <c r="H5" i="2"/>
  <c r="J5" i="2" s="1"/>
  <c r="H4" i="2"/>
  <c r="J4" i="2" s="1"/>
  <c r="H3" i="2"/>
  <c r="J3" i="2" s="1"/>
  <c r="H2" i="2"/>
  <c r="J2" i="2" s="1"/>
</calcChain>
</file>

<file path=xl/sharedStrings.xml><?xml version="1.0" encoding="utf-8"?>
<sst xmlns="http://schemas.openxmlformats.org/spreadsheetml/2006/main" count="785" uniqueCount="93">
  <si>
    <t>판매일자</t>
  </si>
  <si>
    <t>매장</t>
  </si>
  <si>
    <t>농가</t>
  </si>
  <si>
    <t>분류</t>
  </si>
  <si>
    <t>품목</t>
  </si>
  <si>
    <t>수량</t>
  </si>
  <si>
    <t>단가</t>
  </si>
  <si>
    <t>매출액</t>
  </si>
  <si>
    <t>수수료율</t>
  </si>
  <si>
    <t>정산액</t>
  </si>
  <si>
    <t>1호점</t>
  </si>
  <si>
    <t>햇살가득농원</t>
  </si>
  <si>
    <t>과일</t>
  </si>
  <si>
    <t>사과</t>
  </si>
  <si>
    <t>7/5</t>
  </si>
  <si>
    <t>배론점</t>
  </si>
  <si>
    <t>산마루농장</t>
  </si>
  <si>
    <t>채소</t>
  </si>
  <si>
    <t>상추</t>
  </si>
  <si>
    <t>2026.07.05</t>
  </si>
  <si>
    <t>이마트매장</t>
  </si>
  <si>
    <t>솔내음농원</t>
  </si>
  <si>
    <t>사과(부사)</t>
  </si>
  <si>
    <t>맑은물양계</t>
  </si>
  <si>
    <t>축산</t>
  </si>
  <si>
    <t>유정란</t>
  </si>
  <si>
    <t>바람골농장</t>
  </si>
  <si>
    <t>감자</t>
  </si>
  <si>
    <t>너른들농장</t>
  </si>
  <si>
    <t>대파</t>
  </si>
  <si>
    <t>고운들농원</t>
  </si>
  <si>
    <t>애호박</t>
  </si>
  <si>
    <t>청솔과수원</t>
  </si>
  <si>
    <t>복숭아</t>
  </si>
  <si>
    <t>들꽃향기농원</t>
  </si>
  <si>
    <t>오이</t>
  </si>
  <si>
    <t>푸른언덕농장</t>
  </si>
  <si>
    <t>토마토</t>
  </si>
  <si>
    <t>달빛꿀농원</t>
  </si>
  <si>
    <t>가공</t>
  </si>
  <si>
    <t>꿀</t>
  </si>
  <si>
    <t>새벽이슬농원</t>
  </si>
  <si>
    <t>깻잎</t>
  </si>
  <si>
    <t>토담장독</t>
  </si>
  <si>
    <t>된장</t>
  </si>
  <si>
    <t>해오름농원</t>
  </si>
  <si>
    <t>포도</t>
  </si>
  <si>
    <t>8월 8일</t>
  </si>
  <si>
    <t>금빛들녘</t>
  </si>
  <si>
    <t>쌀·잡곡</t>
  </si>
  <si>
    <t>쌀(4kg)</t>
  </si>
  <si>
    <t>감자(수미)</t>
  </si>
  <si>
    <t>2026/09/20</t>
  </si>
  <si>
    <t>사 과</t>
  </si>
  <si>
    <t>쌀</t>
  </si>
  <si>
    <t>확인 필요</t>
  </si>
  <si>
    <t>유형</t>
  </si>
  <si>
    <t>원본 행 번호</t>
  </si>
  <si>
    <t>항목</t>
  </si>
  <si>
    <t>변경 전</t>
  </si>
  <si>
    <t>변경 후</t>
  </si>
  <si>
    <t>근거·처리 방식</t>
  </si>
  <si>
    <t>날짜 통일</t>
  </si>
  <si>
    <t>2026-07-05</t>
  </si>
  <si>
    <t>원본 기록 및 2026년 자료 기간 기준</t>
  </si>
  <si>
    <t>품목명 통일</t>
  </si>
  <si>
    <t>괄호 내용·공백 제거</t>
  </si>
  <si>
    <t>매출액 재계산</t>
  </si>
  <si>
    <t>수량×단가</t>
  </si>
  <si>
    <t>정산액 재계산</t>
  </si>
  <si>
    <t>매출액×(1-수수료율)</t>
  </si>
  <si>
    <t>중복 삭제</t>
  </si>
  <si>
    <t>전체 행</t>
  </si>
  <si>
    <t>원본 행 6</t>
  </si>
  <si>
    <t>정제본에서 제외</t>
  </si>
  <si>
    <t>원본 5행과 전체 열 동일</t>
  </si>
  <si>
    <t>2026-08-08</t>
  </si>
  <si>
    <t>빈칸 표시</t>
  </si>
  <si>
    <t>C</t>
  </si>
  <si>
    <t>(빈칸)</t>
  </si>
  <si>
    <t>원자료 추측 없이 표기</t>
  </si>
  <si>
    <t>원본 행 50</t>
  </si>
  <si>
    <t>원본 49행과 전체 열 동일</t>
  </si>
  <si>
    <t>2026-09-20</t>
  </si>
  <si>
    <t>순위</t>
  </si>
  <si>
    <t>매출액(원)</t>
  </si>
  <si>
    <t>2026-07</t>
  </si>
  <si>
    <t>2026-08</t>
  </si>
  <si>
    <t>2026-09</t>
  </si>
  <si>
    <t>합계</t>
  </si>
  <si>
    <t>농가명</t>
  </si>
  <si>
    <t>정산액(원)</t>
  </si>
  <si>
    <t>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</si>
</sst>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Calibri"/>
    </font>
    <font>
      <b/>
      <sz val="11"/>
      <color rgb="FF1E2F49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Calibri"/>
    </font>
    <font>
      <sz val="11"/>
      <color theme="1"/>
      <name val="Calibri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AF0F8"/>
      </patternFill>
    </fill>
    <fill>
      <patternFill patternType="solid">
        <fgColor rgb="FF154360"/>
      </patternFill>
    </fill>
    <fill>
      <patternFill patternType="solid">
        <fgColor rgb="FF185B60"/>
      </patternFill>
    </fill>
  </fills>
  <borders count="2">
    <border>
      <left/>
      <right/>
      <top/>
      <bottom/>
      <diagonal/>
    </border>
    <border>
      <left style="thin">
        <color rgb="FFC8D3E0"/>
      </left>
      <right style="thin">
        <color rgb="FFC8D3E0"/>
      </right>
      <top style="thin">
        <color rgb="FFC8D3E0"/>
      </top>
      <bottom style="thin">
        <color rgb="FFC8D3E0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3" fontId="2" fillId="0" borderId="1" xfId="1" applyNumberFormat="1" applyFont="1" applyBorder="1"/>
    <xf numFmtId="9" fontId="2" fillId="0" borderId="1" xfId="1" applyNumberFormat="1" applyFont="1" applyBorder="1" applyAlignment="1">
      <alignment horizontal="center"/>
    </xf>
    <xf numFmtId="176" fontId="0" fillId="0" borderId="0" xfId="1" applyNumberFormat="1" applyFont="1"/>
    <xf numFmtId="3" fontId="0" fillId="0" borderId="0" xfId="1" applyNumberFormat="1" applyFont="1"/>
    <xf numFmtId="9" fontId="0" fillId="0" borderId="0" xfId="1" applyNumberFormat="1" applyFont="1"/>
    <xf numFmtId="0" fontId="3" fillId="3" borderId="0" xfId="1" applyFont="1" applyFill="1"/>
    <xf numFmtId="0" fontId="3" fillId="4" borderId="0" xfId="1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월별 매출 추이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매출액(원)</c:v>
          </c:tx>
          <c:marker>
            <c:symbol val="none"/>
          </c:marker>
          <c:cat>
            <c:strRef>
              <c:f>그래프!$A$2:$A$4</c:f>
              <c:strCache>
                <c:ptCount val="3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</c:strCache>
            </c:strRef>
          </c:cat>
          <c:val>
            <c:numRef>
              <c:f>그래프!$B$2:$B$4</c:f>
              <c:numCache>
                <c:formatCode>#,##0</c:formatCode>
                <c:ptCount val="3"/>
                <c:pt idx="0">
                  <c:v>3272000</c:v>
                </c:pt>
                <c:pt idx="1">
                  <c:v>3210500</c:v>
                </c:pt>
                <c:pt idx="2">
                  <c:v>3128000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6-4C2F-8CB3-C42214DC6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매출액</c:v>
          </c:tx>
          <c:invertIfNegative val="1"/>
          <c:cat>
            <c:strRef>
              <c:f>그래프!$D$2:$D$15</c:f>
              <c:strCache>
                <c:ptCount val="14"/>
                <c:pt idx="0">
                  <c:v>사과</c:v>
                </c:pt>
                <c:pt idx="1">
                  <c:v>복숭아</c:v>
                </c:pt>
                <c:pt idx="2">
                  <c:v>포도</c:v>
                </c:pt>
                <c:pt idx="3">
                  <c:v>감자</c:v>
                </c:pt>
                <c:pt idx="4">
                  <c:v>유정란</c:v>
                </c:pt>
                <c:pt idx="5">
                  <c:v>상추</c:v>
                </c:pt>
                <c:pt idx="6">
                  <c:v>토마토</c:v>
                </c:pt>
                <c:pt idx="7">
                  <c:v>대파</c:v>
                </c:pt>
                <c:pt idx="8">
                  <c:v>애호박</c:v>
                </c:pt>
                <c:pt idx="9">
                  <c:v>꿀</c:v>
                </c:pt>
                <c:pt idx="10">
                  <c:v>된장</c:v>
                </c:pt>
                <c:pt idx="11">
                  <c:v>깻잎</c:v>
                </c:pt>
                <c:pt idx="12">
                  <c:v>쌀</c:v>
                </c:pt>
                <c:pt idx="13">
                  <c:v>오이</c:v>
                </c:pt>
              </c:strCache>
            </c:strRef>
          </c:cat>
          <c:val>
            <c:numRef>
              <c:f>그래프!$E$2:$E$15</c:f>
              <c:numCache>
                <c:formatCode>#,##0</c:formatCode>
                <c:ptCount val="14"/>
                <c:pt idx="0">
                  <c:v>2205000</c:v>
                </c:pt>
                <c:pt idx="1">
                  <c:v>2070000</c:v>
                </c:pt>
                <c:pt idx="2">
                  <c:v>1440000</c:v>
                </c:pt>
                <c:pt idx="3">
                  <c:v>655000</c:v>
                </c:pt>
                <c:pt idx="4">
                  <c:v>639000</c:v>
                </c:pt>
                <c:pt idx="5">
                  <c:v>557500</c:v>
                </c:pt>
                <c:pt idx="6">
                  <c:v>546000</c:v>
                </c:pt>
                <c:pt idx="7">
                  <c:v>306000</c:v>
                </c:pt>
                <c:pt idx="8">
                  <c:v>252000</c:v>
                </c:pt>
                <c:pt idx="9">
                  <c:v>250000</c:v>
                </c:pt>
                <c:pt idx="10">
                  <c:v>216000</c:v>
                </c:pt>
                <c:pt idx="11">
                  <c:v>192000</c:v>
                </c:pt>
                <c:pt idx="12">
                  <c:v>144000</c:v>
                </c:pt>
                <c:pt idx="13">
                  <c:v>138000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2-44B3-9A22-C3101E22A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2" width="11" customWidth="1"/>
    <col min="3" max="3" width="14" customWidth="1"/>
    <col min="4" max="4" width="9" customWidth="1"/>
    <col min="5" max="5" width="14" customWidth="1"/>
    <col min="6" max="6" width="7" customWidth="1"/>
    <col min="7" max="7" width="9" customWidth="1"/>
    <col min="8" max="8" width="11" customWidth="1"/>
    <col min="9" max="9" width="9" customWidth="1"/>
    <col min="10" max="10" width="11" customWidth="1"/>
  </cols>
  <sheetData>
    <row r="1" spans="1:10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399999999999999">
      <c r="A2" s="2">
        <v>46206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12</v>
      </c>
      <c r="G2" s="4">
        <v>15000</v>
      </c>
      <c r="H2" s="4">
        <v>180000</v>
      </c>
      <c r="I2" s="5">
        <v>0.15</v>
      </c>
      <c r="J2" s="4">
        <v>153000</v>
      </c>
    </row>
    <row r="3" spans="1:10" ht="17.399999999999999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30</v>
      </c>
      <c r="G3" s="4">
        <v>2500</v>
      </c>
      <c r="H3" s="4">
        <v>75000</v>
      </c>
      <c r="I3" s="5">
        <v>0.15</v>
      </c>
      <c r="J3" s="4">
        <v>63750</v>
      </c>
    </row>
    <row r="4" spans="1:10" ht="17.399999999999999">
      <c r="A4" s="3" t="s">
        <v>19</v>
      </c>
      <c r="B4" s="3" t="s">
        <v>20</v>
      </c>
      <c r="C4" s="3" t="s">
        <v>21</v>
      </c>
      <c r="D4" s="3" t="s">
        <v>12</v>
      </c>
      <c r="E4" s="3" t="s">
        <v>22</v>
      </c>
      <c r="F4" s="4">
        <v>8</v>
      </c>
      <c r="G4" s="4">
        <v>15000</v>
      </c>
      <c r="H4" s="4">
        <v>120000</v>
      </c>
      <c r="I4" s="5">
        <v>0.15</v>
      </c>
      <c r="J4" s="4">
        <v>102000</v>
      </c>
    </row>
    <row r="5" spans="1:10" ht="17.399999999999999">
      <c r="A5" s="2">
        <v>46211</v>
      </c>
      <c r="B5" s="3" t="s">
        <v>10</v>
      </c>
      <c r="C5" s="3" t="s">
        <v>23</v>
      </c>
      <c r="D5" s="3" t="s">
        <v>24</v>
      </c>
      <c r="E5" s="3" t="s">
        <v>25</v>
      </c>
      <c r="F5" s="4">
        <v>20</v>
      </c>
      <c r="G5" s="4">
        <v>9000</v>
      </c>
      <c r="H5" s="4">
        <v>170000</v>
      </c>
      <c r="I5" s="5">
        <v>0.15</v>
      </c>
      <c r="J5" s="4">
        <v>144500</v>
      </c>
    </row>
    <row r="6" spans="1:10" ht="17.399999999999999">
      <c r="A6" s="2">
        <v>46211</v>
      </c>
      <c r="B6" s="3" t="s">
        <v>10</v>
      </c>
      <c r="C6" s="3" t="s">
        <v>23</v>
      </c>
      <c r="D6" s="3" t="s">
        <v>24</v>
      </c>
      <c r="E6" s="3" t="s">
        <v>25</v>
      </c>
      <c r="F6" s="4">
        <v>20</v>
      </c>
      <c r="G6" s="4">
        <v>9000</v>
      </c>
      <c r="H6" s="4">
        <v>170000</v>
      </c>
      <c r="I6" s="5">
        <v>0.15</v>
      </c>
      <c r="J6" s="4">
        <v>144500</v>
      </c>
    </row>
    <row r="7" spans="1:10" ht="17.399999999999999">
      <c r="A7" s="2">
        <v>46213</v>
      </c>
      <c r="B7" s="3" t="s">
        <v>10</v>
      </c>
      <c r="C7" s="3" t="s">
        <v>26</v>
      </c>
      <c r="D7" s="3" t="s">
        <v>17</v>
      </c>
      <c r="E7" s="3" t="s">
        <v>27</v>
      </c>
      <c r="F7" s="4">
        <v>29</v>
      </c>
      <c r="G7" s="4">
        <v>5000</v>
      </c>
      <c r="H7" s="4">
        <v>145000</v>
      </c>
      <c r="I7" s="5">
        <v>0.15</v>
      </c>
      <c r="J7" s="4">
        <v>123250</v>
      </c>
    </row>
    <row r="8" spans="1:10" ht="17.399999999999999">
      <c r="A8" s="2">
        <v>46215</v>
      </c>
      <c r="B8" s="3" t="s">
        <v>20</v>
      </c>
      <c r="C8" s="3" t="s">
        <v>28</v>
      </c>
      <c r="D8" s="3" t="s">
        <v>17</v>
      </c>
      <c r="E8" s="3" t="s">
        <v>29</v>
      </c>
      <c r="F8" s="4">
        <v>20</v>
      </c>
      <c r="G8" s="4">
        <v>3000</v>
      </c>
      <c r="H8" s="4">
        <v>60000</v>
      </c>
      <c r="I8" s="5">
        <v>0.15</v>
      </c>
      <c r="J8" s="4">
        <v>51000</v>
      </c>
    </row>
    <row r="9" spans="1:10" ht="17.399999999999999">
      <c r="A9" s="2">
        <v>46216</v>
      </c>
      <c r="B9" s="3" t="s">
        <v>10</v>
      </c>
      <c r="C9" s="3" t="s">
        <v>26</v>
      </c>
      <c r="D9" s="3" t="s">
        <v>17</v>
      </c>
      <c r="E9" s="3" t="s">
        <v>27</v>
      </c>
      <c r="F9" s="4">
        <v>25</v>
      </c>
      <c r="G9" s="4">
        <v>5000</v>
      </c>
      <c r="H9" s="4">
        <v>125000</v>
      </c>
      <c r="I9" s="5">
        <v>0.15</v>
      </c>
      <c r="J9" s="4">
        <v>106250</v>
      </c>
    </row>
    <row r="10" spans="1:10" ht="17.399999999999999">
      <c r="A10" s="2">
        <v>46217</v>
      </c>
      <c r="B10" s="3" t="s">
        <v>20</v>
      </c>
      <c r="C10" s="3" t="s">
        <v>30</v>
      </c>
      <c r="D10" s="3" t="s">
        <v>17</v>
      </c>
      <c r="E10" s="3" t="s">
        <v>31</v>
      </c>
      <c r="F10" s="4">
        <v>28</v>
      </c>
      <c r="G10" s="4">
        <v>2000</v>
      </c>
      <c r="H10" s="4">
        <v>56000</v>
      </c>
      <c r="I10" s="5">
        <v>0.15</v>
      </c>
      <c r="J10" s="4">
        <v>47600</v>
      </c>
    </row>
    <row r="11" spans="1:10" ht="17.399999999999999">
      <c r="A11" s="2">
        <v>46218</v>
      </c>
      <c r="B11" s="3" t="s">
        <v>20</v>
      </c>
      <c r="C11" s="3" t="s">
        <v>32</v>
      </c>
      <c r="D11" s="3" t="s">
        <v>12</v>
      </c>
      <c r="E11" s="3" t="s">
        <v>33</v>
      </c>
      <c r="F11" s="4">
        <v>18</v>
      </c>
      <c r="G11" s="4">
        <v>18000</v>
      </c>
      <c r="H11" s="4">
        <v>324000</v>
      </c>
      <c r="I11" s="5">
        <v>0.15</v>
      </c>
      <c r="J11" s="4">
        <v>275400</v>
      </c>
    </row>
    <row r="12" spans="1:10" ht="17.399999999999999">
      <c r="A12" s="2">
        <v>46219</v>
      </c>
      <c r="B12" s="3" t="s">
        <v>15</v>
      </c>
      <c r="C12" s="3" t="s">
        <v>16</v>
      </c>
      <c r="D12" s="3" t="s">
        <v>17</v>
      </c>
      <c r="E12" s="3" t="s">
        <v>18</v>
      </c>
      <c r="F12" s="4">
        <v>32</v>
      </c>
      <c r="G12" s="4">
        <v>2500</v>
      </c>
      <c r="H12" s="4">
        <v>80000</v>
      </c>
      <c r="I12" s="5">
        <v>0.15</v>
      </c>
      <c r="J12" s="4">
        <v>68000</v>
      </c>
    </row>
    <row r="13" spans="1:10" ht="17.399999999999999">
      <c r="A13" s="2">
        <v>46219</v>
      </c>
      <c r="B13" s="3" t="s">
        <v>15</v>
      </c>
      <c r="C13" s="3" t="s">
        <v>34</v>
      </c>
      <c r="D13" s="3" t="s">
        <v>17</v>
      </c>
      <c r="E13" s="3" t="s">
        <v>35</v>
      </c>
      <c r="F13" s="4">
        <v>15</v>
      </c>
      <c r="G13" s="4">
        <v>3000</v>
      </c>
      <c r="H13" s="4">
        <v>45000</v>
      </c>
      <c r="I13" s="5">
        <v>0.15</v>
      </c>
      <c r="J13" s="4">
        <v>38250</v>
      </c>
    </row>
    <row r="14" spans="1:10" ht="17.399999999999999">
      <c r="A14" s="2">
        <v>46219</v>
      </c>
      <c r="B14" s="3" t="s">
        <v>20</v>
      </c>
      <c r="C14" s="3" t="s">
        <v>36</v>
      </c>
      <c r="D14" s="3" t="s">
        <v>17</v>
      </c>
      <c r="E14" s="3" t="s">
        <v>37</v>
      </c>
      <c r="F14" s="4">
        <v>16</v>
      </c>
      <c r="G14" s="4">
        <v>6000</v>
      </c>
      <c r="H14" s="4">
        <v>96000</v>
      </c>
      <c r="I14" s="5">
        <v>0.15</v>
      </c>
      <c r="J14" s="4">
        <v>81600</v>
      </c>
    </row>
    <row r="15" spans="1:10" ht="17.399999999999999">
      <c r="A15" s="2">
        <v>46220</v>
      </c>
      <c r="B15" s="3" t="s">
        <v>15</v>
      </c>
      <c r="C15" s="3" t="s">
        <v>16</v>
      </c>
      <c r="D15" s="3" t="s">
        <v>17</v>
      </c>
      <c r="E15" s="3" t="s">
        <v>18</v>
      </c>
      <c r="F15" s="4">
        <v>22</v>
      </c>
      <c r="G15" s="4">
        <v>2500</v>
      </c>
      <c r="H15" s="4">
        <v>55000</v>
      </c>
      <c r="I15" s="5">
        <v>0.15</v>
      </c>
      <c r="J15" s="4">
        <v>46750</v>
      </c>
    </row>
    <row r="16" spans="1:10" ht="17.399999999999999">
      <c r="A16" s="2">
        <v>46220</v>
      </c>
      <c r="B16" s="3" t="s">
        <v>15</v>
      </c>
      <c r="C16" s="3" t="s">
        <v>36</v>
      </c>
      <c r="D16" s="3" t="s">
        <v>17</v>
      </c>
      <c r="E16" s="3" t="s">
        <v>37</v>
      </c>
      <c r="F16" s="4">
        <v>24</v>
      </c>
      <c r="G16" s="4">
        <v>6000</v>
      </c>
      <c r="H16" s="4">
        <v>144000</v>
      </c>
      <c r="I16" s="5">
        <v>0.15</v>
      </c>
      <c r="J16" s="4">
        <v>122400</v>
      </c>
    </row>
    <row r="17" spans="1:10" ht="17.399999999999999">
      <c r="A17" s="2">
        <v>46221</v>
      </c>
      <c r="B17" s="3" t="s">
        <v>15</v>
      </c>
      <c r="C17" s="3" t="s">
        <v>32</v>
      </c>
      <c r="D17" s="3" t="s">
        <v>12</v>
      </c>
      <c r="E17" s="3" t="s">
        <v>33</v>
      </c>
      <c r="F17" s="4">
        <v>16</v>
      </c>
      <c r="G17" s="4">
        <v>18000</v>
      </c>
      <c r="H17" s="4">
        <v>288000</v>
      </c>
      <c r="I17" s="5">
        <v>0.15</v>
      </c>
      <c r="J17" s="4">
        <v>244800</v>
      </c>
    </row>
    <row r="18" spans="1:10" ht="17.399999999999999">
      <c r="A18" s="2">
        <v>46221</v>
      </c>
      <c r="B18" s="3" t="s">
        <v>20</v>
      </c>
      <c r="C18" s="3" t="s">
        <v>34</v>
      </c>
      <c r="D18" s="3" t="s">
        <v>17</v>
      </c>
      <c r="E18" s="3" t="s">
        <v>35</v>
      </c>
      <c r="F18" s="4">
        <v>31</v>
      </c>
      <c r="G18" s="4">
        <v>3000</v>
      </c>
      <c r="H18" s="4">
        <v>93000</v>
      </c>
      <c r="I18" s="5">
        <v>0.15</v>
      </c>
      <c r="J18" s="4">
        <v>79050</v>
      </c>
    </row>
    <row r="19" spans="1:10" ht="17.399999999999999">
      <c r="A19" s="2">
        <v>46221</v>
      </c>
      <c r="B19" s="3" t="s">
        <v>20</v>
      </c>
      <c r="C19" s="3" t="s">
        <v>28</v>
      </c>
      <c r="D19" s="3" t="s">
        <v>17</v>
      </c>
      <c r="E19" s="3" t="s">
        <v>29</v>
      </c>
      <c r="F19" s="4">
        <v>35</v>
      </c>
      <c r="G19" s="4">
        <v>3000</v>
      </c>
      <c r="H19" s="4">
        <v>105000</v>
      </c>
      <c r="I19" s="5">
        <v>0.15</v>
      </c>
      <c r="J19" s="4">
        <v>89250</v>
      </c>
    </row>
    <row r="20" spans="1:10" ht="17.399999999999999">
      <c r="A20" s="2">
        <v>46221</v>
      </c>
      <c r="B20" s="3" t="s">
        <v>15</v>
      </c>
      <c r="C20" s="3" t="s">
        <v>38</v>
      </c>
      <c r="D20" s="3" t="s">
        <v>39</v>
      </c>
      <c r="E20" s="3" t="s">
        <v>40</v>
      </c>
      <c r="F20" s="4">
        <v>7</v>
      </c>
      <c r="G20" s="4">
        <v>25000</v>
      </c>
      <c r="H20" s="4">
        <v>175000</v>
      </c>
      <c r="I20" s="5">
        <v>0.15</v>
      </c>
      <c r="J20" s="4">
        <v>148750</v>
      </c>
    </row>
    <row r="21" spans="1:10" ht="17.399999999999999">
      <c r="A21" s="2">
        <v>46223</v>
      </c>
      <c r="B21" s="3" t="s">
        <v>15</v>
      </c>
      <c r="C21" s="3" t="s">
        <v>36</v>
      </c>
      <c r="D21" s="3" t="s">
        <v>17</v>
      </c>
      <c r="E21" s="3" t="s">
        <v>37</v>
      </c>
      <c r="F21" s="4">
        <v>18</v>
      </c>
      <c r="G21" s="4">
        <v>6000</v>
      </c>
      <c r="H21" s="4">
        <v>108000</v>
      </c>
      <c r="I21" s="5">
        <v>0.15</v>
      </c>
      <c r="J21" s="4">
        <v>91800</v>
      </c>
    </row>
    <row r="22" spans="1:10" ht="17.399999999999999">
      <c r="A22" s="2">
        <v>46224</v>
      </c>
      <c r="B22" s="3" t="s">
        <v>10</v>
      </c>
      <c r="C22" s="3" t="s">
        <v>28</v>
      </c>
      <c r="D22" s="3" t="s">
        <v>17</v>
      </c>
      <c r="E22" s="3" t="s">
        <v>29</v>
      </c>
      <c r="F22" s="4">
        <v>12</v>
      </c>
      <c r="G22" s="4">
        <v>3000</v>
      </c>
      <c r="H22" s="4">
        <v>36000</v>
      </c>
      <c r="I22" s="5">
        <v>0.15</v>
      </c>
      <c r="J22" s="4">
        <v>30600</v>
      </c>
    </row>
    <row r="23" spans="1:10" ht="17.399999999999999">
      <c r="A23" s="2">
        <v>46225</v>
      </c>
      <c r="B23" s="3" t="s">
        <v>20</v>
      </c>
      <c r="C23" s="3" t="s">
        <v>41</v>
      </c>
      <c r="D23" s="3" t="s">
        <v>17</v>
      </c>
      <c r="E23" s="3" t="s">
        <v>42</v>
      </c>
      <c r="F23" s="4">
        <v>29</v>
      </c>
      <c r="G23" s="4">
        <v>2000</v>
      </c>
      <c r="H23" s="4">
        <v>58000</v>
      </c>
      <c r="I23" s="5">
        <v>0.15</v>
      </c>
      <c r="J23" s="4">
        <v>49300</v>
      </c>
    </row>
    <row r="24" spans="1:10" ht="17.399999999999999">
      <c r="A24" s="2">
        <v>46228</v>
      </c>
      <c r="B24" s="3" t="s">
        <v>10</v>
      </c>
      <c r="C24" s="3" t="s">
        <v>32</v>
      </c>
      <c r="D24" s="3" t="s">
        <v>12</v>
      </c>
      <c r="E24" s="3" t="s">
        <v>33</v>
      </c>
      <c r="F24" s="4">
        <v>10</v>
      </c>
      <c r="G24" s="4">
        <v>18000</v>
      </c>
      <c r="H24" s="4">
        <v>180000</v>
      </c>
      <c r="I24" s="5">
        <v>0.15</v>
      </c>
      <c r="J24" s="4">
        <v>153000</v>
      </c>
    </row>
    <row r="25" spans="1:10" ht="17.399999999999999">
      <c r="A25" s="2">
        <v>46230</v>
      </c>
      <c r="B25" s="3" t="s">
        <v>10</v>
      </c>
      <c r="C25" s="3" t="s">
        <v>30</v>
      </c>
      <c r="D25" s="3" t="s">
        <v>17</v>
      </c>
      <c r="E25" s="3" t="s">
        <v>31</v>
      </c>
      <c r="F25" s="4">
        <v>35</v>
      </c>
      <c r="G25" s="4">
        <v>2000</v>
      </c>
      <c r="H25" s="4">
        <v>70000</v>
      </c>
      <c r="I25" s="5">
        <v>0.15</v>
      </c>
      <c r="J25" s="4">
        <v>59500</v>
      </c>
    </row>
    <row r="26" spans="1:10" ht="17.399999999999999">
      <c r="A26" s="2">
        <v>46231</v>
      </c>
      <c r="B26" s="3" t="s">
        <v>15</v>
      </c>
      <c r="C26" s="3" t="s">
        <v>11</v>
      </c>
      <c r="D26" s="3" t="s">
        <v>12</v>
      </c>
      <c r="E26" s="3" t="s">
        <v>13</v>
      </c>
      <c r="F26" s="4">
        <v>10</v>
      </c>
      <c r="G26" s="4">
        <v>15000</v>
      </c>
      <c r="H26" s="4">
        <v>150000</v>
      </c>
      <c r="I26" s="5">
        <v>0.15</v>
      </c>
      <c r="J26" s="4">
        <v>127500</v>
      </c>
    </row>
    <row r="27" spans="1:10" ht="17.399999999999999">
      <c r="A27" s="2">
        <v>46234</v>
      </c>
      <c r="B27" s="3" t="s">
        <v>15</v>
      </c>
      <c r="C27" s="3" t="s">
        <v>32</v>
      </c>
      <c r="D27" s="3" t="s">
        <v>12</v>
      </c>
      <c r="E27" s="3" t="s">
        <v>33</v>
      </c>
      <c r="F27" s="4">
        <v>14</v>
      </c>
      <c r="G27" s="4">
        <v>18000</v>
      </c>
      <c r="H27" s="4">
        <v>252000</v>
      </c>
      <c r="I27" s="5">
        <v>0.15</v>
      </c>
      <c r="J27" s="4">
        <v>214200</v>
      </c>
    </row>
    <row r="28" spans="1:10" ht="17.399999999999999">
      <c r="A28" s="2">
        <v>46234</v>
      </c>
      <c r="B28" s="3" t="s">
        <v>10</v>
      </c>
      <c r="C28" s="3" t="s">
        <v>43</v>
      </c>
      <c r="D28" s="3" t="s">
        <v>39</v>
      </c>
      <c r="E28" s="3" t="s">
        <v>44</v>
      </c>
      <c r="F28" s="4">
        <v>6</v>
      </c>
      <c r="G28" s="4">
        <v>12000</v>
      </c>
      <c r="H28" s="4">
        <v>72000</v>
      </c>
      <c r="I28" s="5">
        <v>0.15</v>
      </c>
      <c r="J28" s="4">
        <v>61200</v>
      </c>
    </row>
    <row r="29" spans="1:10" ht="17.399999999999999">
      <c r="A29" s="2">
        <v>46235</v>
      </c>
      <c r="B29" s="3" t="s">
        <v>20</v>
      </c>
      <c r="C29" s="3" t="s">
        <v>30</v>
      </c>
      <c r="D29" s="3" t="s">
        <v>17</v>
      </c>
      <c r="E29" s="3" t="s">
        <v>31</v>
      </c>
      <c r="F29" s="4">
        <v>25</v>
      </c>
      <c r="G29" s="4">
        <v>2000</v>
      </c>
      <c r="H29" s="4">
        <v>50000</v>
      </c>
      <c r="I29" s="5">
        <v>0.15</v>
      </c>
      <c r="J29" s="4">
        <v>42500</v>
      </c>
    </row>
    <row r="30" spans="1:10" ht="17.399999999999999">
      <c r="A30" s="2">
        <v>46235</v>
      </c>
      <c r="B30" s="3" t="s">
        <v>10</v>
      </c>
      <c r="C30" s="3" t="s">
        <v>45</v>
      </c>
      <c r="D30" s="3" t="s">
        <v>12</v>
      </c>
      <c r="E30" s="3" t="s">
        <v>46</v>
      </c>
      <c r="F30" s="4">
        <v>10</v>
      </c>
      <c r="G30" s="4">
        <v>12000</v>
      </c>
      <c r="H30" s="4">
        <v>120000</v>
      </c>
      <c r="I30" s="5">
        <v>0.15</v>
      </c>
      <c r="J30" s="4">
        <v>102000</v>
      </c>
    </row>
    <row r="31" spans="1:10" ht="17.399999999999999">
      <c r="A31" s="2">
        <v>46237</v>
      </c>
      <c r="B31" s="3" t="s">
        <v>10</v>
      </c>
      <c r="C31" s="3" t="s">
        <v>16</v>
      </c>
      <c r="D31" s="3" t="s">
        <v>17</v>
      </c>
      <c r="E31" s="3" t="s">
        <v>18</v>
      </c>
      <c r="F31" s="4">
        <v>25</v>
      </c>
      <c r="G31" s="4">
        <v>2500</v>
      </c>
      <c r="H31" s="4">
        <v>62500</v>
      </c>
      <c r="I31" s="5">
        <v>0.15</v>
      </c>
      <c r="J31" s="4">
        <v>53125</v>
      </c>
    </row>
    <row r="32" spans="1:10" ht="17.399999999999999">
      <c r="A32" s="2">
        <v>46238</v>
      </c>
      <c r="B32" s="3" t="s">
        <v>20</v>
      </c>
      <c r="C32" s="3" t="s">
        <v>11</v>
      </c>
      <c r="D32" s="3" t="s">
        <v>12</v>
      </c>
      <c r="E32" s="3" t="s">
        <v>13</v>
      </c>
      <c r="F32" s="4">
        <v>13</v>
      </c>
      <c r="G32" s="4">
        <v>15000</v>
      </c>
      <c r="H32" s="4">
        <v>195000</v>
      </c>
      <c r="I32" s="5">
        <v>0.15</v>
      </c>
      <c r="J32" s="4">
        <v>165750</v>
      </c>
    </row>
    <row r="33" spans="1:10" ht="17.399999999999999">
      <c r="A33" s="2">
        <v>46239</v>
      </c>
      <c r="B33" s="3" t="s">
        <v>10</v>
      </c>
      <c r="C33" s="3" t="s">
        <v>36</v>
      </c>
      <c r="D33" s="3" t="s">
        <v>17</v>
      </c>
      <c r="E33" s="3" t="s">
        <v>37</v>
      </c>
      <c r="F33" s="4">
        <v>33</v>
      </c>
      <c r="G33" s="4">
        <v>6000</v>
      </c>
      <c r="H33" s="4">
        <v>198000</v>
      </c>
      <c r="I33" s="5">
        <v>0.15</v>
      </c>
      <c r="J33" s="4">
        <v>168300</v>
      </c>
    </row>
    <row r="34" spans="1:10" ht="17.399999999999999">
      <c r="A34" s="2">
        <v>46241</v>
      </c>
      <c r="B34" s="3" t="s">
        <v>10</v>
      </c>
      <c r="C34" s="3" t="s">
        <v>45</v>
      </c>
      <c r="D34" s="3" t="s">
        <v>12</v>
      </c>
      <c r="E34" s="3" t="s">
        <v>46</v>
      </c>
      <c r="F34" s="4">
        <v>8</v>
      </c>
      <c r="G34" s="4">
        <v>12000</v>
      </c>
      <c r="H34" s="4">
        <v>96000</v>
      </c>
      <c r="I34" s="5">
        <v>0.15</v>
      </c>
      <c r="J34" s="4">
        <v>81600</v>
      </c>
    </row>
    <row r="35" spans="1:10" ht="17.399999999999999">
      <c r="A35" s="2">
        <v>46241</v>
      </c>
      <c r="B35" s="3" t="s">
        <v>15</v>
      </c>
      <c r="C35" s="3" t="s">
        <v>21</v>
      </c>
      <c r="D35" s="3" t="s">
        <v>12</v>
      </c>
      <c r="E35" s="3" t="s">
        <v>13</v>
      </c>
      <c r="F35" s="4">
        <v>13</v>
      </c>
      <c r="G35" s="4">
        <v>15000</v>
      </c>
      <c r="H35" s="4">
        <v>195000</v>
      </c>
      <c r="I35" s="5">
        <v>0.15</v>
      </c>
      <c r="J35" s="4">
        <v>165750</v>
      </c>
    </row>
    <row r="36" spans="1:10" ht="17.399999999999999">
      <c r="A36" s="2">
        <v>46241</v>
      </c>
      <c r="B36" s="3" t="s">
        <v>15</v>
      </c>
      <c r="C36" s="3" t="s">
        <v>16</v>
      </c>
      <c r="D36" s="3" t="s">
        <v>17</v>
      </c>
      <c r="E36" s="3" t="s">
        <v>18</v>
      </c>
      <c r="F36" s="4">
        <v>14</v>
      </c>
      <c r="G36" s="4">
        <v>2500</v>
      </c>
      <c r="H36" s="4">
        <v>35000</v>
      </c>
      <c r="I36" s="5">
        <v>0.15</v>
      </c>
      <c r="J36" s="4">
        <v>29750</v>
      </c>
    </row>
    <row r="37" spans="1:10" ht="17.399999999999999">
      <c r="A37" s="2">
        <v>46242</v>
      </c>
      <c r="B37" s="3" t="s">
        <v>20</v>
      </c>
      <c r="C37" s="3" t="s">
        <v>45</v>
      </c>
      <c r="D37" s="3" t="s">
        <v>12</v>
      </c>
      <c r="E37" s="3" t="s">
        <v>46</v>
      </c>
      <c r="F37" s="4">
        <v>6</v>
      </c>
      <c r="G37" s="4">
        <v>12000</v>
      </c>
      <c r="H37" s="4">
        <v>72000</v>
      </c>
      <c r="I37" s="5">
        <v>0.15</v>
      </c>
      <c r="J37" s="4">
        <v>61200</v>
      </c>
    </row>
    <row r="38" spans="1:10" ht="17.399999999999999">
      <c r="A38" s="3" t="s">
        <v>47</v>
      </c>
      <c r="B38" s="3" t="s">
        <v>10</v>
      </c>
      <c r="C38" s="3" t="s">
        <v>16</v>
      </c>
      <c r="D38" s="3" t="s">
        <v>17</v>
      </c>
      <c r="E38" s="3" t="s">
        <v>18</v>
      </c>
      <c r="F38" s="4">
        <v>30</v>
      </c>
      <c r="G38" s="4">
        <v>2500</v>
      </c>
      <c r="H38" s="4">
        <v>75000</v>
      </c>
      <c r="I38" s="5">
        <v>0.15</v>
      </c>
      <c r="J38" s="4">
        <v>63750</v>
      </c>
    </row>
    <row r="39" spans="1:10" ht="17.399999999999999">
      <c r="A39" s="2">
        <v>46242</v>
      </c>
      <c r="B39" s="3" t="s">
        <v>20</v>
      </c>
      <c r="C39" s="3" t="s">
        <v>32</v>
      </c>
      <c r="D39" s="3" t="s">
        <v>12</v>
      </c>
      <c r="E39" s="3" t="s">
        <v>33</v>
      </c>
      <c r="F39" s="4">
        <v>8</v>
      </c>
      <c r="G39" s="4">
        <v>18000</v>
      </c>
      <c r="H39" s="4">
        <v>144000</v>
      </c>
      <c r="I39" s="5">
        <v>0.15</v>
      </c>
      <c r="J39" s="4">
        <v>122400</v>
      </c>
    </row>
    <row r="40" spans="1:10" ht="17.399999999999999">
      <c r="A40" s="2">
        <v>46242</v>
      </c>
      <c r="B40" s="3" t="s">
        <v>15</v>
      </c>
      <c r="C40" s="3" t="s">
        <v>48</v>
      </c>
      <c r="D40" s="3" t="s">
        <v>49</v>
      </c>
      <c r="E40" s="3" t="s">
        <v>50</v>
      </c>
      <c r="F40" s="4">
        <v>8</v>
      </c>
      <c r="G40" s="4">
        <v>18000</v>
      </c>
      <c r="H40" s="4">
        <v>144000</v>
      </c>
      <c r="I40" s="5">
        <v>0.15</v>
      </c>
      <c r="J40" s="4">
        <v>122400</v>
      </c>
    </row>
    <row r="41" spans="1:10" ht="17.399999999999999">
      <c r="A41" s="2">
        <v>46246</v>
      </c>
      <c r="B41" s="3" t="s">
        <v>10</v>
      </c>
      <c r="C41" s="3" t="s">
        <v>21</v>
      </c>
      <c r="D41" s="3" t="s">
        <v>12</v>
      </c>
      <c r="E41" s="3" t="s">
        <v>13</v>
      </c>
      <c r="F41" s="4">
        <v>16</v>
      </c>
      <c r="G41" s="4">
        <v>15000</v>
      </c>
      <c r="H41" s="4">
        <v>240000</v>
      </c>
      <c r="I41" s="5">
        <v>0.15</v>
      </c>
      <c r="J41" s="4">
        <v>204000</v>
      </c>
    </row>
    <row r="42" spans="1:10" ht="17.399999999999999">
      <c r="A42" s="2">
        <v>46246</v>
      </c>
      <c r="B42" s="3" t="s">
        <v>15</v>
      </c>
      <c r="C42" s="3" t="s">
        <v>41</v>
      </c>
      <c r="D42" s="3" t="s">
        <v>17</v>
      </c>
      <c r="E42" s="3" t="s">
        <v>42</v>
      </c>
      <c r="F42" s="4">
        <v>29</v>
      </c>
      <c r="G42" s="4">
        <v>2000</v>
      </c>
      <c r="H42" s="4">
        <v>58000</v>
      </c>
      <c r="I42" s="5">
        <v>0.15</v>
      </c>
      <c r="J42" s="4">
        <v>49300</v>
      </c>
    </row>
    <row r="43" spans="1:10" ht="17.399999999999999">
      <c r="A43" s="2">
        <v>46247</v>
      </c>
      <c r="B43" s="3" t="s">
        <v>15</v>
      </c>
      <c r="C43" s="3" t="s">
        <v>43</v>
      </c>
      <c r="D43" s="3" t="s">
        <v>39</v>
      </c>
      <c r="E43" s="3" t="s">
        <v>44</v>
      </c>
      <c r="F43" s="4">
        <v>5</v>
      </c>
      <c r="G43" s="4">
        <v>12000</v>
      </c>
      <c r="H43" s="4">
        <v>60000</v>
      </c>
      <c r="I43" s="5">
        <v>0.15</v>
      </c>
      <c r="J43" s="4">
        <v>51000</v>
      </c>
    </row>
    <row r="44" spans="1:10" ht="17.399999999999999">
      <c r="A44" s="2">
        <v>46251</v>
      </c>
      <c r="B44" s="3" t="s">
        <v>10</v>
      </c>
      <c r="C44" s="3"/>
      <c r="D44" s="3" t="s">
        <v>17</v>
      </c>
      <c r="E44" s="3" t="s">
        <v>29</v>
      </c>
      <c r="F44" s="4">
        <v>15</v>
      </c>
      <c r="G44" s="4">
        <v>3000</v>
      </c>
      <c r="H44" s="4">
        <v>45000</v>
      </c>
      <c r="I44" s="5">
        <v>0.15</v>
      </c>
      <c r="J44" s="4">
        <v>38250</v>
      </c>
    </row>
    <row r="45" spans="1:10" ht="17.399999999999999">
      <c r="A45" s="2">
        <v>46255</v>
      </c>
      <c r="B45" s="3" t="s">
        <v>10</v>
      </c>
      <c r="C45" s="3" t="s">
        <v>30</v>
      </c>
      <c r="D45" s="3" t="s">
        <v>17</v>
      </c>
      <c r="E45" s="3" t="s">
        <v>31</v>
      </c>
      <c r="F45" s="4">
        <v>22</v>
      </c>
      <c r="G45" s="4">
        <v>2000</v>
      </c>
      <c r="H45" s="4">
        <v>44000</v>
      </c>
      <c r="I45" s="5">
        <v>0.15</v>
      </c>
      <c r="J45" s="4">
        <v>37400</v>
      </c>
    </row>
    <row r="46" spans="1:10" ht="17.399999999999999">
      <c r="A46" s="2">
        <v>46256</v>
      </c>
      <c r="B46" s="3" t="s">
        <v>10</v>
      </c>
      <c r="C46" s="3" t="s">
        <v>32</v>
      </c>
      <c r="D46" s="3" t="s">
        <v>12</v>
      </c>
      <c r="E46" s="3" t="s">
        <v>33</v>
      </c>
      <c r="F46" s="4">
        <v>17</v>
      </c>
      <c r="G46" s="4">
        <v>18000</v>
      </c>
      <c r="H46" s="4">
        <v>306000</v>
      </c>
      <c r="I46" s="5">
        <v>0.15</v>
      </c>
      <c r="J46" s="4">
        <v>260100</v>
      </c>
    </row>
    <row r="47" spans="1:10" ht="17.399999999999999">
      <c r="A47" s="2">
        <v>46257</v>
      </c>
      <c r="B47" s="3" t="s">
        <v>10</v>
      </c>
      <c r="C47" s="3" t="s">
        <v>23</v>
      </c>
      <c r="D47" s="3" t="s">
        <v>24</v>
      </c>
      <c r="E47" s="3" t="s">
        <v>25</v>
      </c>
      <c r="F47" s="4">
        <v>21</v>
      </c>
      <c r="G47" s="4">
        <v>9000</v>
      </c>
      <c r="H47" s="4">
        <v>189000</v>
      </c>
      <c r="I47" s="5">
        <v>0.15</v>
      </c>
      <c r="J47" s="4">
        <v>160650</v>
      </c>
    </row>
    <row r="48" spans="1:10" ht="17.399999999999999">
      <c r="A48" s="2">
        <v>46257</v>
      </c>
      <c r="B48" s="3" t="s">
        <v>20</v>
      </c>
      <c r="C48" s="3" t="s">
        <v>32</v>
      </c>
      <c r="D48" s="3" t="s">
        <v>12</v>
      </c>
      <c r="E48" s="3" t="s">
        <v>33</v>
      </c>
      <c r="F48" s="4">
        <v>11</v>
      </c>
      <c r="G48" s="4">
        <v>18000</v>
      </c>
      <c r="H48" s="4">
        <v>198000</v>
      </c>
      <c r="I48" s="5">
        <v>0.15</v>
      </c>
      <c r="J48" s="4">
        <v>168300</v>
      </c>
    </row>
    <row r="49" spans="1:10" ht="17.399999999999999">
      <c r="A49" s="2">
        <v>46257</v>
      </c>
      <c r="B49" s="3" t="s">
        <v>10</v>
      </c>
      <c r="C49" s="3" t="s">
        <v>30</v>
      </c>
      <c r="D49" s="3" t="s">
        <v>17</v>
      </c>
      <c r="E49" s="3" t="s">
        <v>31</v>
      </c>
      <c r="F49" s="4">
        <v>16</v>
      </c>
      <c r="G49" s="4">
        <v>2000</v>
      </c>
      <c r="H49" s="4">
        <v>32000</v>
      </c>
      <c r="I49" s="5">
        <v>0.15</v>
      </c>
      <c r="J49" s="4">
        <v>27200</v>
      </c>
    </row>
    <row r="50" spans="1:10" ht="17.399999999999999">
      <c r="A50" s="2">
        <v>46257</v>
      </c>
      <c r="B50" s="3" t="s">
        <v>10</v>
      </c>
      <c r="C50" s="3" t="s">
        <v>30</v>
      </c>
      <c r="D50" s="3" t="s">
        <v>17</v>
      </c>
      <c r="E50" s="3" t="s">
        <v>31</v>
      </c>
      <c r="F50" s="4">
        <v>16</v>
      </c>
      <c r="G50" s="4">
        <v>2000</v>
      </c>
      <c r="H50" s="4">
        <v>32000</v>
      </c>
      <c r="I50" s="5">
        <v>0.15</v>
      </c>
      <c r="J50" s="4">
        <v>27200</v>
      </c>
    </row>
    <row r="51" spans="1:10" ht="17.399999999999999">
      <c r="A51" s="2">
        <v>46258</v>
      </c>
      <c r="B51" s="3" t="s">
        <v>10</v>
      </c>
      <c r="C51" s="3" t="s">
        <v>45</v>
      </c>
      <c r="D51" s="3" t="s">
        <v>12</v>
      </c>
      <c r="E51" s="3" t="s">
        <v>46</v>
      </c>
      <c r="F51" s="4">
        <v>12</v>
      </c>
      <c r="G51" s="4">
        <v>12000</v>
      </c>
      <c r="H51" s="4">
        <v>144000</v>
      </c>
      <c r="I51" s="5">
        <v>0.15</v>
      </c>
      <c r="J51" s="4">
        <v>122400</v>
      </c>
    </row>
    <row r="52" spans="1:10" ht="17.399999999999999">
      <c r="A52" s="2">
        <v>46260</v>
      </c>
      <c r="B52" s="3" t="s">
        <v>15</v>
      </c>
      <c r="C52" s="3" t="s">
        <v>32</v>
      </c>
      <c r="D52" s="3" t="s">
        <v>12</v>
      </c>
      <c r="E52" s="3" t="s">
        <v>33</v>
      </c>
      <c r="F52" s="4">
        <v>10</v>
      </c>
      <c r="G52" s="4">
        <v>18000</v>
      </c>
      <c r="H52" s="4">
        <v>180000</v>
      </c>
      <c r="I52" s="5">
        <v>0.15</v>
      </c>
      <c r="J52" s="4">
        <v>153000</v>
      </c>
    </row>
    <row r="53" spans="1:10" ht="17.399999999999999">
      <c r="A53" s="2">
        <v>46261</v>
      </c>
      <c r="B53" s="3" t="s">
        <v>20</v>
      </c>
      <c r="C53" s="3" t="s">
        <v>32</v>
      </c>
      <c r="D53" s="3" t="s">
        <v>12</v>
      </c>
      <c r="E53" s="3" t="s">
        <v>33</v>
      </c>
      <c r="F53" s="4">
        <v>11</v>
      </c>
      <c r="G53" s="4">
        <v>18000</v>
      </c>
      <c r="H53" s="4">
        <v>198000</v>
      </c>
      <c r="I53" s="5">
        <v>0.15</v>
      </c>
      <c r="J53" s="4">
        <v>168300</v>
      </c>
    </row>
    <row r="54" spans="1:10" ht="17.399999999999999">
      <c r="A54" s="2">
        <v>46261</v>
      </c>
      <c r="B54" s="3" t="s">
        <v>20</v>
      </c>
      <c r="C54" s="3" t="s">
        <v>16</v>
      </c>
      <c r="D54" s="3" t="s">
        <v>17</v>
      </c>
      <c r="E54" s="3" t="s">
        <v>18</v>
      </c>
      <c r="F54" s="4">
        <v>18</v>
      </c>
      <c r="G54" s="4">
        <v>2500</v>
      </c>
      <c r="H54" s="4">
        <v>45000</v>
      </c>
      <c r="I54" s="5">
        <v>0.15</v>
      </c>
      <c r="J54" s="4">
        <v>38250</v>
      </c>
    </row>
    <row r="55" spans="1:10" ht="17.399999999999999">
      <c r="A55" s="2">
        <v>46264</v>
      </c>
      <c r="B55" s="3" t="s">
        <v>15</v>
      </c>
      <c r="C55" s="3" t="s">
        <v>26</v>
      </c>
      <c r="D55" s="3" t="s">
        <v>17</v>
      </c>
      <c r="E55" s="3" t="s">
        <v>27</v>
      </c>
      <c r="F55" s="4">
        <v>17</v>
      </c>
      <c r="G55" s="4">
        <v>5000</v>
      </c>
      <c r="H55" s="4">
        <v>85000</v>
      </c>
      <c r="I55" s="5">
        <v>0.15</v>
      </c>
      <c r="J55" s="4">
        <v>72250</v>
      </c>
    </row>
    <row r="56" spans="1:10" ht="17.399999999999999">
      <c r="A56" s="2">
        <v>46268</v>
      </c>
      <c r="B56" s="3" t="s">
        <v>20</v>
      </c>
      <c r="C56" s="3" t="s">
        <v>26</v>
      </c>
      <c r="D56" s="3" t="s">
        <v>17</v>
      </c>
      <c r="E56" s="3" t="s">
        <v>51</v>
      </c>
      <c r="F56" s="4">
        <v>16</v>
      </c>
      <c r="G56" s="4">
        <v>5000</v>
      </c>
      <c r="H56" s="4">
        <v>80000</v>
      </c>
      <c r="I56" s="5">
        <v>0.15</v>
      </c>
      <c r="J56" s="4">
        <v>68000</v>
      </c>
    </row>
    <row r="57" spans="1:10" ht="17.399999999999999">
      <c r="A57" s="2">
        <v>46269</v>
      </c>
      <c r="B57" s="3" t="s">
        <v>15</v>
      </c>
      <c r="C57" s="3" t="s">
        <v>38</v>
      </c>
      <c r="D57" s="3" t="s">
        <v>39</v>
      </c>
      <c r="E57" s="3" t="s">
        <v>40</v>
      </c>
      <c r="F57" s="4">
        <v>3</v>
      </c>
      <c r="G57" s="4">
        <v>25000</v>
      </c>
      <c r="H57" s="4">
        <v>75000</v>
      </c>
      <c r="I57" s="5">
        <v>0.15</v>
      </c>
      <c r="J57" s="4">
        <v>63750</v>
      </c>
    </row>
    <row r="58" spans="1:10" ht="17.399999999999999">
      <c r="A58" s="2">
        <v>46269</v>
      </c>
      <c r="B58" s="3" t="s">
        <v>20</v>
      </c>
      <c r="C58" s="3" t="s">
        <v>16</v>
      </c>
      <c r="D58" s="3" t="s">
        <v>17</v>
      </c>
      <c r="E58" s="3" t="s">
        <v>18</v>
      </c>
      <c r="F58" s="4">
        <v>19</v>
      </c>
      <c r="G58" s="4">
        <v>2500</v>
      </c>
      <c r="H58" s="4">
        <v>47500</v>
      </c>
      <c r="I58" s="5">
        <v>0.15</v>
      </c>
      <c r="J58" s="4">
        <v>40375</v>
      </c>
    </row>
    <row r="59" spans="1:10" ht="17.399999999999999">
      <c r="A59" s="2">
        <v>46269</v>
      </c>
      <c r="B59" s="3" t="s">
        <v>10</v>
      </c>
      <c r="C59" s="3" t="s">
        <v>45</v>
      </c>
      <c r="D59" s="3" t="s">
        <v>12</v>
      </c>
      <c r="E59" s="3" t="s">
        <v>46</v>
      </c>
      <c r="F59" s="4">
        <v>18</v>
      </c>
      <c r="G59" s="4">
        <v>12000</v>
      </c>
      <c r="H59" s="4">
        <v>216000</v>
      </c>
      <c r="I59" s="5">
        <v>0.15</v>
      </c>
      <c r="J59" s="4">
        <v>183600</v>
      </c>
    </row>
    <row r="60" spans="1:10" ht="17.399999999999999">
      <c r="A60" s="2">
        <v>46272</v>
      </c>
      <c r="B60" s="3" t="s">
        <v>10</v>
      </c>
      <c r="C60" s="3" t="s">
        <v>45</v>
      </c>
      <c r="D60" s="3" t="s">
        <v>12</v>
      </c>
      <c r="E60" s="3" t="s">
        <v>46</v>
      </c>
      <c r="F60" s="4">
        <v>9</v>
      </c>
      <c r="G60" s="4">
        <v>12000</v>
      </c>
      <c r="H60" s="4">
        <v>108000</v>
      </c>
      <c r="I60" s="5">
        <v>0.15</v>
      </c>
      <c r="J60" s="4">
        <v>91800</v>
      </c>
    </row>
    <row r="61" spans="1:10" ht="17.399999999999999">
      <c r="A61" s="2">
        <v>46273</v>
      </c>
      <c r="B61" s="3" t="s">
        <v>20</v>
      </c>
      <c r="C61" s="3" t="s">
        <v>45</v>
      </c>
      <c r="D61" s="3" t="s">
        <v>12</v>
      </c>
      <c r="E61" s="3" t="s">
        <v>46</v>
      </c>
      <c r="F61" s="4">
        <v>14</v>
      </c>
      <c r="G61" s="4">
        <v>12000</v>
      </c>
      <c r="H61" s="4">
        <v>168000</v>
      </c>
      <c r="I61" s="5">
        <v>0.15</v>
      </c>
      <c r="J61" s="4">
        <v>142800</v>
      </c>
    </row>
    <row r="62" spans="1:10" ht="17.399999999999999">
      <c r="A62" s="2">
        <v>46274</v>
      </c>
      <c r="B62" s="3" t="s">
        <v>10</v>
      </c>
      <c r="C62" s="3" t="s">
        <v>16</v>
      </c>
      <c r="D62" s="3" t="s">
        <v>17</v>
      </c>
      <c r="E62" s="3" t="s">
        <v>18</v>
      </c>
      <c r="F62" s="4">
        <v>18</v>
      </c>
      <c r="G62" s="4">
        <v>2500</v>
      </c>
      <c r="H62" s="4">
        <v>45000</v>
      </c>
      <c r="I62" s="5">
        <v>0.15</v>
      </c>
      <c r="J62" s="4">
        <v>38250</v>
      </c>
    </row>
    <row r="63" spans="1:10" ht="17.399999999999999">
      <c r="A63" s="2">
        <v>46274</v>
      </c>
      <c r="B63" s="3" t="s">
        <v>10</v>
      </c>
      <c r="C63" s="3" t="s">
        <v>23</v>
      </c>
      <c r="D63" s="3" t="s">
        <v>24</v>
      </c>
      <c r="E63" s="3" t="s">
        <v>25</v>
      </c>
      <c r="F63" s="4">
        <v>17</v>
      </c>
      <c r="G63" s="4">
        <v>9000</v>
      </c>
      <c r="H63" s="4">
        <v>153000</v>
      </c>
      <c r="I63" s="5">
        <v>0.15</v>
      </c>
      <c r="J63" s="4">
        <v>130050</v>
      </c>
    </row>
    <row r="64" spans="1:10" ht="17.399999999999999">
      <c r="A64" s="2">
        <v>46276</v>
      </c>
      <c r="B64" s="3" t="s">
        <v>20</v>
      </c>
      <c r="C64" s="3" t="s">
        <v>26</v>
      </c>
      <c r="D64" s="3" t="s">
        <v>17</v>
      </c>
      <c r="E64" s="3" t="s">
        <v>27</v>
      </c>
      <c r="F64" s="4">
        <v>28</v>
      </c>
      <c r="G64" s="4">
        <v>5000</v>
      </c>
      <c r="H64" s="4">
        <v>140000</v>
      </c>
      <c r="I64" s="5">
        <v>0.15</v>
      </c>
      <c r="J64" s="4">
        <v>119000</v>
      </c>
    </row>
    <row r="65" spans="1:10" ht="17.399999999999999">
      <c r="A65" s="2">
        <v>46277</v>
      </c>
      <c r="B65" s="3" t="s">
        <v>15</v>
      </c>
      <c r="C65" s="3" t="s">
        <v>45</v>
      </c>
      <c r="D65" s="3" t="s">
        <v>12</v>
      </c>
      <c r="E65" s="3" t="s">
        <v>46</v>
      </c>
      <c r="F65" s="4">
        <v>9</v>
      </c>
      <c r="G65" s="4">
        <v>12000</v>
      </c>
      <c r="H65" s="4">
        <v>108000</v>
      </c>
      <c r="I65" s="5">
        <v>0.15</v>
      </c>
      <c r="J65" s="4">
        <v>91800</v>
      </c>
    </row>
    <row r="66" spans="1:10" ht="17.399999999999999">
      <c r="A66" s="2">
        <v>46277</v>
      </c>
      <c r="B66" s="3" t="s">
        <v>15</v>
      </c>
      <c r="C66" s="3" t="s">
        <v>45</v>
      </c>
      <c r="D66" s="3" t="s">
        <v>12</v>
      </c>
      <c r="E66" s="3" t="s">
        <v>46</v>
      </c>
      <c r="F66" s="4">
        <v>10</v>
      </c>
      <c r="G66" s="4">
        <v>12000</v>
      </c>
      <c r="H66" s="4">
        <v>120000</v>
      </c>
      <c r="I66" s="5">
        <v>0.15</v>
      </c>
      <c r="J66" s="4">
        <v>102000</v>
      </c>
    </row>
    <row r="67" spans="1:10" ht="17.399999999999999">
      <c r="A67" s="2">
        <v>46285</v>
      </c>
      <c r="B67" s="3" t="s">
        <v>15</v>
      </c>
      <c r="C67" s="3" t="s">
        <v>23</v>
      </c>
      <c r="D67" s="3" t="s">
        <v>24</v>
      </c>
      <c r="E67" s="3" t="s">
        <v>25</v>
      </c>
      <c r="F67" s="4">
        <v>13</v>
      </c>
      <c r="G67" s="4">
        <v>9000</v>
      </c>
      <c r="H67" s="4">
        <v>117000</v>
      </c>
      <c r="I67" s="5">
        <v>0.15</v>
      </c>
      <c r="J67" s="4">
        <v>99450</v>
      </c>
    </row>
    <row r="68" spans="1:10" ht="17.399999999999999">
      <c r="A68" s="3" t="s">
        <v>52</v>
      </c>
      <c r="B68" s="3" t="s">
        <v>15</v>
      </c>
      <c r="C68" s="3" t="s">
        <v>21</v>
      </c>
      <c r="D68" s="3" t="s">
        <v>12</v>
      </c>
      <c r="E68" s="3" t="s">
        <v>13</v>
      </c>
      <c r="F68" s="4">
        <v>9</v>
      </c>
      <c r="G68" s="4">
        <v>15000</v>
      </c>
      <c r="H68" s="4">
        <v>135000</v>
      </c>
      <c r="I68" s="5">
        <v>0.15</v>
      </c>
      <c r="J68" s="4">
        <v>114750</v>
      </c>
    </row>
    <row r="69" spans="1:10" ht="17.399999999999999">
      <c r="A69" s="2">
        <v>46287</v>
      </c>
      <c r="B69" s="3" t="s">
        <v>20</v>
      </c>
      <c r="C69" s="3" t="s">
        <v>45</v>
      </c>
      <c r="D69" s="3" t="s">
        <v>12</v>
      </c>
      <c r="E69" s="3" t="s">
        <v>46</v>
      </c>
      <c r="F69" s="4">
        <v>18</v>
      </c>
      <c r="G69" s="4">
        <v>12000</v>
      </c>
      <c r="H69" s="4">
        <v>216000</v>
      </c>
      <c r="I69" s="5">
        <v>0.15</v>
      </c>
      <c r="J69" s="4">
        <v>183600</v>
      </c>
    </row>
    <row r="70" spans="1:10" ht="17.399999999999999">
      <c r="A70" s="2">
        <v>46288</v>
      </c>
      <c r="B70" s="3" t="s">
        <v>10</v>
      </c>
      <c r="C70" s="3" t="s">
        <v>11</v>
      </c>
      <c r="D70" s="3" t="s">
        <v>12</v>
      </c>
      <c r="E70" s="3" t="s">
        <v>53</v>
      </c>
      <c r="F70" s="4">
        <v>12</v>
      </c>
      <c r="G70" s="4">
        <v>15000</v>
      </c>
      <c r="H70" s="4">
        <v>180000</v>
      </c>
      <c r="I70" s="5">
        <v>0.15</v>
      </c>
      <c r="J70" s="4">
        <v>153000</v>
      </c>
    </row>
    <row r="71" spans="1:10" ht="17.399999999999999">
      <c r="A71" s="2">
        <v>46288</v>
      </c>
      <c r="B71" s="3" t="s">
        <v>10</v>
      </c>
      <c r="C71" s="3" t="s">
        <v>28</v>
      </c>
      <c r="D71" s="3" t="s">
        <v>17</v>
      </c>
      <c r="E71" s="3" t="s">
        <v>29</v>
      </c>
      <c r="F71" s="4">
        <v>20</v>
      </c>
      <c r="G71" s="4">
        <v>3000</v>
      </c>
      <c r="H71" s="4">
        <v>60000</v>
      </c>
      <c r="I71" s="5">
        <v>0.15</v>
      </c>
      <c r="J71" s="4">
        <v>51000</v>
      </c>
    </row>
    <row r="72" spans="1:10" ht="17.399999999999999">
      <c r="A72" s="2">
        <v>46288</v>
      </c>
      <c r="B72" s="3" t="s">
        <v>15</v>
      </c>
      <c r="C72" s="3" t="s">
        <v>43</v>
      </c>
      <c r="D72" s="3" t="s">
        <v>39</v>
      </c>
      <c r="E72" s="3" t="s">
        <v>44</v>
      </c>
      <c r="F72" s="4">
        <v>7</v>
      </c>
      <c r="G72" s="4">
        <v>12000</v>
      </c>
      <c r="H72" s="4">
        <v>84000</v>
      </c>
      <c r="I72" s="5">
        <v>0.15</v>
      </c>
      <c r="J72" s="4">
        <v>71400</v>
      </c>
    </row>
    <row r="73" spans="1:10" ht="17.399999999999999">
      <c r="A73" s="2">
        <v>46288</v>
      </c>
      <c r="B73" s="3" t="s">
        <v>20</v>
      </c>
      <c r="C73" s="3" t="s">
        <v>41</v>
      </c>
      <c r="D73" s="3" t="s">
        <v>17</v>
      </c>
      <c r="E73" s="3" t="s">
        <v>42</v>
      </c>
      <c r="F73" s="4">
        <v>24</v>
      </c>
      <c r="G73" s="4">
        <v>2000</v>
      </c>
      <c r="H73" s="4">
        <v>48000</v>
      </c>
      <c r="I73" s="5">
        <v>0.15</v>
      </c>
      <c r="J73" s="4">
        <v>40800</v>
      </c>
    </row>
    <row r="74" spans="1:10" ht="17.399999999999999">
      <c r="A74" s="2">
        <v>46288</v>
      </c>
      <c r="B74" s="3" t="s">
        <v>20</v>
      </c>
      <c r="C74" s="3" t="s">
        <v>41</v>
      </c>
      <c r="D74" s="3" t="s">
        <v>17</v>
      </c>
      <c r="E74" s="3" t="s">
        <v>42</v>
      </c>
      <c r="F74" s="4">
        <v>14</v>
      </c>
      <c r="G74" s="4">
        <v>2000</v>
      </c>
      <c r="H74" s="4">
        <v>28000</v>
      </c>
      <c r="I74" s="5">
        <v>0.15</v>
      </c>
      <c r="J74" s="4">
        <v>23800</v>
      </c>
    </row>
    <row r="75" spans="1:10" ht="17.399999999999999">
      <c r="A75" s="2">
        <v>46289</v>
      </c>
      <c r="B75" s="3" t="s">
        <v>15</v>
      </c>
      <c r="C75" s="3" t="s">
        <v>21</v>
      </c>
      <c r="D75" s="3" t="s">
        <v>12</v>
      </c>
      <c r="E75" s="3" t="s">
        <v>13</v>
      </c>
      <c r="F75" s="4">
        <v>18</v>
      </c>
      <c r="G75" s="4">
        <v>15000</v>
      </c>
      <c r="H75" s="4">
        <v>270000</v>
      </c>
      <c r="I75" s="5">
        <v>0.15</v>
      </c>
      <c r="J75" s="4">
        <v>229500</v>
      </c>
    </row>
    <row r="76" spans="1:10" ht="17.399999999999999">
      <c r="A76" s="2">
        <v>46290</v>
      </c>
      <c r="B76" s="3" t="s">
        <v>15</v>
      </c>
      <c r="C76" s="3" t="s">
        <v>11</v>
      </c>
      <c r="D76" s="3" t="s">
        <v>12</v>
      </c>
      <c r="E76" s="3" t="s">
        <v>13</v>
      </c>
      <c r="F76" s="4">
        <v>10</v>
      </c>
      <c r="G76" s="4">
        <v>15000</v>
      </c>
      <c r="H76" s="4">
        <v>135000</v>
      </c>
      <c r="I76" s="5">
        <v>0.15</v>
      </c>
      <c r="J76" s="4">
        <v>114750</v>
      </c>
    </row>
    <row r="77" spans="1:10" ht="17.399999999999999">
      <c r="A77" s="2">
        <v>46290</v>
      </c>
      <c r="B77" s="3" t="s">
        <v>20</v>
      </c>
      <c r="C77" s="3" t="s">
        <v>21</v>
      </c>
      <c r="D77" s="3" t="s">
        <v>12</v>
      </c>
      <c r="E77" s="3" t="s">
        <v>13</v>
      </c>
      <c r="F77" s="4">
        <v>18</v>
      </c>
      <c r="G77" s="4">
        <v>15000</v>
      </c>
      <c r="H77" s="4">
        <v>270000</v>
      </c>
      <c r="I77" s="5">
        <v>0.15</v>
      </c>
      <c r="J77" s="4">
        <v>229500</v>
      </c>
    </row>
    <row r="78" spans="1:10" ht="17.399999999999999">
      <c r="A78" s="2">
        <v>46292</v>
      </c>
      <c r="B78" s="3" t="s">
        <v>20</v>
      </c>
      <c r="C78" s="3" t="s">
        <v>26</v>
      </c>
      <c r="D78" s="3" t="s">
        <v>17</v>
      </c>
      <c r="E78" s="3" t="s">
        <v>27</v>
      </c>
      <c r="F78" s="4">
        <v>16</v>
      </c>
      <c r="G78" s="4">
        <v>5000</v>
      </c>
      <c r="H78" s="4">
        <v>80000</v>
      </c>
      <c r="I78" s="5">
        <v>0.15</v>
      </c>
      <c r="J78" s="4">
        <v>68000</v>
      </c>
    </row>
    <row r="79" spans="1:10" ht="17.399999999999999">
      <c r="A79" s="2">
        <v>46293</v>
      </c>
      <c r="B79" s="3" t="s">
        <v>10</v>
      </c>
      <c r="C79" s="3" t="s">
        <v>16</v>
      </c>
      <c r="D79" s="3" t="s">
        <v>17</v>
      </c>
      <c r="E79" s="3" t="s">
        <v>18</v>
      </c>
      <c r="F79" s="4">
        <v>15</v>
      </c>
      <c r="G79" s="4">
        <v>2500</v>
      </c>
      <c r="H79" s="4">
        <v>37500</v>
      </c>
      <c r="I79" s="5">
        <v>0.15</v>
      </c>
      <c r="J79" s="4">
        <v>31875</v>
      </c>
    </row>
    <row r="80" spans="1:10" ht="17.399999999999999">
      <c r="A80" s="2">
        <v>46295</v>
      </c>
      <c r="B80" s="3" t="s">
        <v>10</v>
      </c>
      <c r="C80" s="3" t="s">
        <v>45</v>
      </c>
      <c r="D80" s="3" t="s">
        <v>12</v>
      </c>
      <c r="E80" s="3" t="s">
        <v>46</v>
      </c>
      <c r="F80" s="4">
        <v>6</v>
      </c>
      <c r="G80" s="4">
        <v>12000</v>
      </c>
      <c r="H80" s="4">
        <v>72000</v>
      </c>
      <c r="I80" s="5">
        <v>0.15</v>
      </c>
      <c r="J80" s="4">
        <v>61200</v>
      </c>
    </row>
    <row r="81" spans="1:10" ht="17.399999999999999">
      <c r="A81" s="2">
        <v>46295</v>
      </c>
      <c r="B81" s="3" t="s">
        <v>20</v>
      </c>
      <c r="C81" s="3" t="s">
        <v>11</v>
      </c>
      <c r="D81" s="3" t="s">
        <v>12</v>
      </c>
      <c r="E81" s="3" t="s">
        <v>13</v>
      </c>
      <c r="F81" s="4">
        <v>8</v>
      </c>
      <c r="G81" s="4">
        <v>15000</v>
      </c>
      <c r="H81" s="4">
        <v>120000</v>
      </c>
      <c r="I81" s="5">
        <v>0.15</v>
      </c>
      <c r="J81" s="4">
        <v>102000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7" customWidth="1"/>
    <col min="2" max="2" width="16" customWidth="1"/>
    <col min="3" max="3" width="20" customWidth="1"/>
    <col min="4" max="4" width="13" customWidth="1"/>
    <col min="5" max="5" width="17" customWidth="1"/>
    <col min="6" max="6" width="12" customWidth="1"/>
    <col min="7" max="7" width="14" customWidth="1"/>
    <col min="8" max="8" width="16" customWidth="1"/>
    <col min="9" max="9" width="12" customWidth="1"/>
    <col min="10" max="10" width="16" customWidth="1"/>
  </cols>
  <sheetData>
    <row r="1" spans="1:10" ht="28.0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6">
        <v>46206</v>
      </c>
      <c r="B2" t="s">
        <v>10</v>
      </c>
      <c r="C2" t="s">
        <v>11</v>
      </c>
      <c r="D2" t="s">
        <v>12</v>
      </c>
      <c r="E2" t="s">
        <v>13</v>
      </c>
      <c r="F2" s="7">
        <v>12</v>
      </c>
      <c r="G2" s="7">
        <v>15000</v>
      </c>
      <c r="H2" s="7">
        <f t="shared" ref="H2:H33" si="0">F2*G2</f>
        <v>180000</v>
      </c>
      <c r="I2" s="8">
        <v>0.15</v>
      </c>
      <c r="J2" s="7">
        <f t="shared" ref="J2:J33" si="1">ROUND(H2*(1-I2),0)</f>
        <v>153000</v>
      </c>
    </row>
    <row r="3" spans="1:10">
      <c r="A3" s="6">
        <v>46208</v>
      </c>
      <c r="B3" t="s">
        <v>15</v>
      </c>
      <c r="C3" t="s">
        <v>16</v>
      </c>
      <c r="D3" t="s">
        <v>17</v>
      </c>
      <c r="E3" t="s">
        <v>18</v>
      </c>
      <c r="F3" s="7">
        <v>30</v>
      </c>
      <c r="G3" s="7">
        <v>2500</v>
      </c>
      <c r="H3" s="7">
        <f t="shared" si="0"/>
        <v>75000</v>
      </c>
      <c r="I3" s="8">
        <v>0.15</v>
      </c>
      <c r="J3" s="7">
        <f t="shared" si="1"/>
        <v>63750</v>
      </c>
    </row>
    <row r="4" spans="1:10">
      <c r="A4" s="6">
        <v>46208</v>
      </c>
      <c r="B4" t="s">
        <v>20</v>
      </c>
      <c r="C4" t="s">
        <v>21</v>
      </c>
      <c r="D4" t="s">
        <v>12</v>
      </c>
      <c r="E4" t="s">
        <v>13</v>
      </c>
      <c r="F4" s="7">
        <v>8</v>
      </c>
      <c r="G4" s="7">
        <v>15000</v>
      </c>
      <c r="H4" s="7">
        <f t="shared" si="0"/>
        <v>120000</v>
      </c>
      <c r="I4" s="8">
        <v>0.15</v>
      </c>
      <c r="J4" s="7">
        <f t="shared" si="1"/>
        <v>102000</v>
      </c>
    </row>
    <row r="5" spans="1:10">
      <c r="A5" s="6">
        <v>46211</v>
      </c>
      <c r="B5" t="s">
        <v>10</v>
      </c>
      <c r="C5" t="s">
        <v>23</v>
      </c>
      <c r="D5" t="s">
        <v>24</v>
      </c>
      <c r="E5" t="s">
        <v>25</v>
      </c>
      <c r="F5" s="7">
        <v>20</v>
      </c>
      <c r="G5" s="7">
        <v>9000</v>
      </c>
      <c r="H5" s="7">
        <f t="shared" si="0"/>
        <v>180000</v>
      </c>
      <c r="I5" s="8">
        <v>0.15</v>
      </c>
      <c r="J5" s="7">
        <f t="shared" si="1"/>
        <v>153000</v>
      </c>
    </row>
    <row r="6" spans="1:10">
      <c r="A6" s="6">
        <v>46213</v>
      </c>
      <c r="B6" t="s">
        <v>10</v>
      </c>
      <c r="C6" t="s">
        <v>26</v>
      </c>
      <c r="D6" t="s">
        <v>17</v>
      </c>
      <c r="E6" t="s">
        <v>27</v>
      </c>
      <c r="F6" s="7">
        <v>29</v>
      </c>
      <c r="G6" s="7">
        <v>5000</v>
      </c>
      <c r="H6" s="7">
        <f t="shared" si="0"/>
        <v>145000</v>
      </c>
      <c r="I6" s="8">
        <v>0.15</v>
      </c>
      <c r="J6" s="7">
        <f t="shared" si="1"/>
        <v>123250</v>
      </c>
    </row>
    <row r="7" spans="1:10">
      <c r="A7" s="6">
        <v>46215</v>
      </c>
      <c r="B7" t="s">
        <v>20</v>
      </c>
      <c r="C7" t="s">
        <v>28</v>
      </c>
      <c r="D7" t="s">
        <v>17</v>
      </c>
      <c r="E7" t="s">
        <v>29</v>
      </c>
      <c r="F7" s="7">
        <v>20</v>
      </c>
      <c r="G7" s="7">
        <v>3000</v>
      </c>
      <c r="H7" s="7">
        <f t="shared" si="0"/>
        <v>60000</v>
      </c>
      <c r="I7" s="8">
        <v>0.15</v>
      </c>
      <c r="J7" s="7">
        <f t="shared" si="1"/>
        <v>51000</v>
      </c>
    </row>
    <row r="8" spans="1:10">
      <c r="A8" s="6">
        <v>46216</v>
      </c>
      <c r="B8" t="s">
        <v>10</v>
      </c>
      <c r="C8" t="s">
        <v>26</v>
      </c>
      <c r="D8" t="s">
        <v>17</v>
      </c>
      <c r="E8" t="s">
        <v>27</v>
      </c>
      <c r="F8" s="7">
        <v>25</v>
      </c>
      <c r="G8" s="7">
        <v>5000</v>
      </c>
      <c r="H8" s="7">
        <f t="shared" si="0"/>
        <v>125000</v>
      </c>
      <c r="I8" s="8">
        <v>0.15</v>
      </c>
      <c r="J8" s="7">
        <f t="shared" si="1"/>
        <v>106250</v>
      </c>
    </row>
    <row r="9" spans="1:10">
      <c r="A9" s="6">
        <v>46217</v>
      </c>
      <c r="B9" t="s">
        <v>20</v>
      </c>
      <c r="C9" t="s">
        <v>30</v>
      </c>
      <c r="D9" t="s">
        <v>17</v>
      </c>
      <c r="E9" t="s">
        <v>31</v>
      </c>
      <c r="F9" s="7">
        <v>28</v>
      </c>
      <c r="G9" s="7">
        <v>2000</v>
      </c>
      <c r="H9" s="7">
        <f t="shared" si="0"/>
        <v>56000</v>
      </c>
      <c r="I9" s="8">
        <v>0.15</v>
      </c>
      <c r="J9" s="7">
        <f t="shared" si="1"/>
        <v>47600</v>
      </c>
    </row>
    <row r="10" spans="1:10">
      <c r="A10" s="6">
        <v>46218</v>
      </c>
      <c r="B10" t="s">
        <v>20</v>
      </c>
      <c r="C10" t="s">
        <v>32</v>
      </c>
      <c r="D10" t="s">
        <v>12</v>
      </c>
      <c r="E10" t="s">
        <v>33</v>
      </c>
      <c r="F10" s="7">
        <v>18</v>
      </c>
      <c r="G10" s="7">
        <v>18000</v>
      </c>
      <c r="H10" s="7">
        <f t="shared" si="0"/>
        <v>324000</v>
      </c>
      <c r="I10" s="8">
        <v>0.15</v>
      </c>
      <c r="J10" s="7">
        <f t="shared" si="1"/>
        <v>275400</v>
      </c>
    </row>
    <row r="11" spans="1:10">
      <c r="A11" s="6">
        <v>46219</v>
      </c>
      <c r="B11" t="s">
        <v>15</v>
      </c>
      <c r="C11" t="s">
        <v>16</v>
      </c>
      <c r="D11" t="s">
        <v>17</v>
      </c>
      <c r="E11" t="s">
        <v>18</v>
      </c>
      <c r="F11" s="7">
        <v>32</v>
      </c>
      <c r="G11" s="7">
        <v>2500</v>
      </c>
      <c r="H11" s="7">
        <f t="shared" si="0"/>
        <v>80000</v>
      </c>
      <c r="I11" s="8">
        <v>0.15</v>
      </c>
      <c r="J11" s="7">
        <f t="shared" si="1"/>
        <v>68000</v>
      </c>
    </row>
    <row r="12" spans="1:10">
      <c r="A12" s="6">
        <v>46219</v>
      </c>
      <c r="B12" t="s">
        <v>15</v>
      </c>
      <c r="C12" t="s">
        <v>34</v>
      </c>
      <c r="D12" t="s">
        <v>17</v>
      </c>
      <c r="E12" t="s">
        <v>35</v>
      </c>
      <c r="F12" s="7">
        <v>15</v>
      </c>
      <c r="G12" s="7">
        <v>3000</v>
      </c>
      <c r="H12" s="7">
        <f t="shared" si="0"/>
        <v>45000</v>
      </c>
      <c r="I12" s="8">
        <v>0.15</v>
      </c>
      <c r="J12" s="7">
        <f t="shared" si="1"/>
        <v>38250</v>
      </c>
    </row>
    <row r="13" spans="1:10">
      <c r="A13" s="6">
        <v>46219</v>
      </c>
      <c r="B13" t="s">
        <v>20</v>
      </c>
      <c r="C13" t="s">
        <v>36</v>
      </c>
      <c r="D13" t="s">
        <v>17</v>
      </c>
      <c r="E13" t="s">
        <v>37</v>
      </c>
      <c r="F13" s="7">
        <v>16</v>
      </c>
      <c r="G13" s="7">
        <v>6000</v>
      </c>
      <c r="H13" s="7">
        <f t="shared" si="0"/>
        <v>96000</v>
      </c>
      <c r="I13" s="8">
        <v>0.15</v>
      </c>
      <c r="J13" s="7">
        <f t="shared" si="1"/>
        <v>81600</v>
      </c>
    </row>
    <row r="14" spans="1:10">
      <c r="A14" s="6">
        <v>46220</v>
      </c>
      <c r="B14" t="s">
        <v>15</v>
      </c>
      <c r="C14" t="s">
        <v>16</v>
      </c>
      <c r="D14" t="s">
        <v>17</v>
      </c>
      <c r="E14" t="s">
        <v>18</v>
      </c>
      <c r="F14" s="7">
        <v>22</v>
      </c>
      <c r="G14" s="7">
        <v>2500</v>
      </c>
      <c r="H14" s="7">
        <f t="shared" si="0"/>
        <v>55000</v>
      </c>
      <c r="I14" s="8">
        <v>0.15</v>
      </c>
      <c r="J14" s="7">
        <f t="shared" si="1"/>
        <v>46750</v>
      </c>
    </row>
    <row r="15" spans="1:10">
      <c r="A15" s="6">
        <v>46220</v>
      </c>
      <c r="B15" t="s">
        <v>15</v>
      </c>
      <c r="C15" t="s">
        <v>36</v>
      </c>
      <c r="D15" t="s">
        <v>17</v>
      </c>
      <c r="E15" t="s">
        <v>37</v>
      </c>
      <c r="F15" s="7">
        <v>24</v>
      </c>
      <c r="G15" s="7">
        <v>6000</v>
      </c>
      <c r="H15" s="7">
        <f t="shared" si="0"/>
        <v>144000</v>
      </c>
      <c r="I15" s="8">
        <v>0.15</v>
      </c>
      <c r="J15" s="7">
        <f t="shared" si="1"/>
        <v>122400</v>
      </c>
    </row>
    <row r="16" spans="1:10">
      <c r="A16" s="6">
        <v>46221</v>
      </c>
      <c r="B16" t="s">
        <v>15</v>
      </c>
      <c r="C16" t="s">
        <v>32</v>
      </c>
      <c r="D16" t="s">
        <v>12</v>
      </c>
      <c r="E16" t="s">
        <v>33</v>
      </c>
      <c r="F16" s="7">
        <v>16</v>
      </c>
      <c r="G16" s="7">
        <v>18000</v>
      </c>
      <c r="H16" s="7">
        <f t="shared" si="0"/>
        <v>288000</v>
      </c>
      <c r="I16" s="8">
        <v>0.15</v>
      </c>
      <c r="J16" s="7">
        <f t="shared" si="1"/>
        <v>244800</v>
      </c>
    </row>
    <row r="17" spans="1:10">
      <c r="A17" s="6">
        <v>46221</v>
      </c>
      <c r="B17" t="s">
        <v>20</v>
      </c>
      <c r="C17" t="s">
        <v>34</v>
      </c>
      <c r="D17" t="s">
        <v>17</v>
      </c>
      <c r="E17" t="s">
        <v>35</v>
      </c>
      <c r="F17" s="7">
        <v>31</v>
      </c>
      <c r="G17" s="7">
        <v>3000</v>
      </c>
      <c r="H17" s="7">
        <f t="shared" si="0"/>
        <v>93000</v>
      </c>
      <c r="I17" s="8">
        <v>0.15</v>
      </c>
      <c r="J17" s="7">
        <f t="shared" si="1"/>
        <v>79050</v>
      </c>
    </row>
    <row r="18" spans="1:10">
      <c r="A18" s="6">
        <v>46221</v>
      </c>
      <c r="B18" t="s">
        <v>20</v>
      </c>
      <c r="C18" t="s">
        <v>28</v>
      </c>
      <c r="D18" t="s">
        <v>17</v>
      </c>
      <c r="E18" t="s">
        <v>29</v>
      </c>
      <c r="F18" s="7">
        <v>35</v>
      </c>
      <c r="G18" s="7">
        <v>3000</v>
      </c>
      <c r="H18" s="7">
        <f t="shared" si="0"/>
        <v>105000</v>
      </c>
      <c r="I18" s="8">
        <v>0.15</v>
      </c>
      <c r="J18" s="7">
        <f t="shared" si="1"/>
        <v>89250</v>
      </c>
    </row>
    <row r="19" spans="1:10">
      <c r="A19" s="6">
        <v>46221</v>
      </c>
      <c r="B19" t="s">
        <v>15</v>
      </c>
      <c r="C19" t="s">
        <v>38</v>
      </c>
      <c r="D19" t="s">
        <v>39</v>
      </c>
      <c r="E19" t="s">
        <v>40</v>
      </c>
      <c r="F19" s="7">
        <v>7</v>
      </c>
      <c r="G19" s="7">
        <v>25000</v>
      </c>
      <c r="H19" s="7">
        <f t="shared" si="0"/>
        <v>175000</v>
      </c>
      <c r="I19" s="8">
        <v>0.15</v>
      </c>
      <c r="J19" s="7">
        <f t="shared" si="1"/>
        <v>148750</v>
      </c>
    </row>
    <row r="20" spans="1:10">
      <c r="A20" s="6">
        <v>46223</v>
      </c>
      <c r="B20" t="s">
        <v>15</v>
      </c>
      <c r="C20" t="s">
        <v>36</v>
      </c>
      <c r="D20" t="s">
        <v>17</v>
      </c>
      <c r="E20" t="s">
        <v>37</v>
      </c>
      <c r="F20" s="7">
        <v>18</v>
      </c>
      <c r="G20" s="7">
        <v>6000</v>
      </c>
      <c r="H20" s="7">
        <f t="shared" si="0"/>
        <v>108000</v>
      </c>
      <c r="I20" s="8">
        <v>0.15</v>
      </c>
      <c r="J20" s="7">
        <f t="shared" si="1"/>
        <v>91800</v>
      </c>
    </row>
    <row r="21" spans="1:10">
      <c r="A21" s="6">
        <v>46224</v>
      </c>
      <c r="B21" t="s">
        <v>10</v>
      </c>
      <c r="C21" t="s">
        <v>28</v>
      </c>
      <c r="D21" t="s">
        <v>17</v>
      </c>
      <c r="E21" t="s">
        <v>29</v>
      </c>
      <c r="F21" s="7">
        <v>12</v>
      </c>
      <c r="G21" s="7">
        <v>3000</v>
      </c>
      <c r="H21" s="7">
        <f t="shared" si="0"/>
        <v>36000</v>
      </c>
      <c r="I21" s="8">
        <v>0.15</v>
      </c>
      <c r="J21" s="7">
        <f t="shared" si="1"/>
        <v>30600</v>
      </c>
    </row>
    <row r="22" spans="1:10">
      <c r="A22" s="6">
        <v>46225</v>
      </c>
      <c r="B22" t="s">
        <v>20</v>
      </c>
      <c r="C22" t="s">
        <v>41</v>
      </c>
      <c r="D22" t="s">
        <v>17</v>
      </c>
      <c r="E22" t="s">
        <v>42</v>
      </c>
      <c r="F22" s="7">
        <v>29</v>
      </c>
      <c r="G22" s="7">
        <v>2000</v>
      </c>
      <c r="H22" s="7">
        <f t="shared" si="0"/>
        <v>58000</v>
      </c>
      <c r="I22" s="8">
        <v>0.15</v>
      </c>
      <c r="J22" s="7">
        <f t="shared" si="1"/>
        <v>49300</v>
      </c>
    </row>
    <row r="23" spans="1:10">
      <c r="A23" s="6">
        <v>46228</v>
      </c>
      <c r="B23" t="s">
        <v>10</v>
      </c>
      <c r="C23" t="s">
        <v>32</v>
      </c>
      <c r="D23" t="s">
        <v>12</v>
      </c>
      <c r="E23" t="s">
        <v>33</v>
      </c>
      <c r="F23" s="7">
        <v>10</v>
      </c>
      <c r="G23" s="7">
        <v>18000</v>
      </c>
      <c r="H23" s="7">
        <f t="shared" si="0"/>
        <v>180000</v>
      </c>
      <c r="I23" s="8">
        <v>0.15</v>
      </c>
      <c r="J23" s="7">
        <f t="shared" si="1"/>
        <v>153000</v>
      </c>
    </row>
    <row r="24" spans="1:10">
      <c r="A24" s="6">
        <v>46230</v>
      </c>
      <c r="B24" t="s">
        <v>10</v>
      </c>
      <c r="C24" t="s">
        <v>30</v>
      </c>
      <c r="D24" t="s">
        <v>17</v>
      </c>
      <c r="E24" t="s">
        <v>31</v>
      </c>
      <c r="F24" s="7">
        <v>35</v>
      </c>
      <c r="G24" s="7">
        <v>2000</v>
      </c>
      <c r="H24" s="7">
        <f t="shared" si="0"/>
        <v>70000</v>
      </c>
      <c r="I24" s="8">
        <v>0.15</v>
      </c>
      <c r="J24" s="7">
        <f t="shared" si="1"/>
        <v>59500</v>
      </c>
    </row>
    <row r="25" spans="1:10">
      <c r="A25" s="6">
        <v>46231</v>
      </c>
      <c r="B25" t="s">
        <v>15</v>
      </c>
      <c r="C25" t="s">
        <v>11</v>
      </c>
      <c r="D25" t="s">
        <v>12</v>
      </c>
      <c r="E25" t="s">
        <v>13</v>
      </c>
      <c r="F25" s="7">
        <v>10</v>
      </c>
      <c r="G25" s="7">
        <v>15000</v>
      </c>
      <c r="H25" s="7">
        <f t="shared" si="0"/>
        <v>150000</v>
      </c>
      <c r="I25" s="8">
        <v>0.15</v>
      </c>
      <c r="J25" s="7">
        <f t="shared" si="1"/>
        <v>127500</v>
      </c>
    </row>
    <row r="26" spans="1:10">
      <c r="A26" s="6">
        <v>46234</v>
      </c>
      <c r="B26" t="s">
        <v>15</v>
      </c>
      <c r="C26" t="s">
        <v>32</v>
      </c>
      <c r="D26" t="s">
        <v>12</v>
      </c>
      <c r="E26" t="s">
        <v>33</v>
      </c>
      <c r="F26" s="7">
        <v>14</v>
      </c>
      <c r="G26" s="7">
        <v>18000</v>
      </c>
      <c r="H26" s="7">
        <f t="shared" si="0"/>
        <v>252000</v>
      </c>
      <c r="I26" s="8">
        <v>0.15</v>
      </c>
      <c r="J26" s="7">
        <f t="shared" si="1"/>
        <v>214200</v>
      </c>
    </row>
    <row r="27" spans="1:10">
      <c r="A27" s="6">
        <v>46234</v>
      </c>
      <c r="B27" t="s">
        <v>10</v>
      </c>
      <c r="C27" t="s">
        <v>43</v>
      </c>
      <c r="D27" t="s">
        <v>39</v>
      </c>
      <c r="E27" t="s">
        <v>44</v>
      </c>
      <c r="F27" s="7">
        <v>6</v>
      </c>
      <c r="G27" s="7">
        <v>12000</v>
      </c>
      <c r="H27" s="7">
        <f t="shared" si="0"/>
        <v>72000</v>
      </c>
      <c r="I27" s="8">
        <v>0.15</v>
      </c>
      <c r="J27" s="7">
        <f t="shared" si="1"/>
        <v>61200</v>
      </c>
    </row>
    <row r="28" spans="1:10">
      <c r="A28" s="6">
        <v>46235</v>
      </c>
      <c r="B28" t="s">
        <v>20</v>
      </c>
      <c r="C28" t="s">
        <v>30</v>
      </c>
      <c r="D28" t="s">
        <v>17</v>
      </c>
      <c r="E28" t="s">
        <v>31</v>
      </c>
      <c r="F28" s="7">
        <v>25</v>
      </c>
      <c r="G28" s="7">
        <v>2000</v>
      </c>
      <c r="H28" s="7">
        <f t="shared" si="0"/>
        <v>50000</v>
      </c>
      <c r="I28" s="8">
        <v>0.15</v>
      </c>
      <c r="J28" s="7">
        <f t="shared" si="1"/>
        <v>42500</v>
      </c>
    </row>
    <row r="29" spans="1:10">
      <c r="A29" s="6">
        <v>46235</v>
      </c>
      <c r="B29" t="s">
        <v>10</v>
      </c>
      <c r="C29" t="s">
        <v>45</v>
      </c>
      <c r="D29" t="s">
        <v>12</v>
      </c>
      <c r="E29" t="s">
        <v>46</v>
      </c>
      <c r="F29" s="7">
        <v>10</v>
      </c>
      <c r="G29" s="7">
        <v>12000</v>
      </c>
      <c r="H29" s="7">
        <f t="shared" si="0"/>
        <v>120000</v>
      </c>
      <c r="I29" s="8">
        <v>0.15</v>
      </c>
      <c r="J29" s="7">
        <f t="shared" si="1"/>
        <v>102000</v>
      </c>
    </row>
    <row r="30" spans="1:10">
      <c r="A30" s="6">
        <v>46237</v>
      </c>
      <c r="B30" t="s">
        <v>10</v>
      </c>
      <c r="C30" t="s">
        <v>16</v>
      </c>
      <c r="D30" t="s">
        <v>17</v>
      </c>
      <c r="E30" t="s">
        <v>18</v>
      </c>
      <c r="F30" s="7">
        <v>25</v>
      </c>
      <c r="G30" s="7">
        <v>2500</v>
      </c>
      <c r="H30" s="7">
        <f t="shared" si="0"/>
        <v>62500</v>
      </c>
      <c r="I30" s="8">
        <v>0.15</v>
      </c>
      <c r="J30" s="7">
        <f t="shared" si="1"/>
        <v>53125</v>
      </c>
    </row>
    <row r="31" spans="1:10">
      <c r="A31" s="6">
        <v>46238</v>
      </c>
      <c r="B31" t="s">
        <v>20</v>
      </c>
      <c r="C31" t="s">
        <v>11</v>
      </c>
      <c r="D31" t="s">
        <v>12</v>
      </c>
      <c r="E31" t="s">
        <v>13</v>
      </c>
      <c r="F31" s="7">
        <v>13</v>
      </c>
      <c r="G31" s="7">
        <v>15000</v>
      </c>
      <c r="H31" s="7">
        <f t="shared" si="0"/>
        <v>195000</v>
      </c>
      <c r="I31" s="8">
        <v>0.15</v>
      </c>
      <c r="J31" s="7">
        <f t="shared" si="1"/>
        <v>165750</v>
      </c>
    </row>
    <row r="32" spans="1:10">
      <c r="A32" s="6">
        <v>46239</v>
      </c>
      <c r="B32" t="s">
        <v>10</v>
      </c>
      <c r="C32" t="s">
        <v>36</v>
      </c>
      <c r="D32" t="s">
        <v>17</v>
      </c>
      <c r="E32" t="s">
        <v>37</v>
      </c>
      <c r="F32" s="7">
        <v>33</v>
      </c>
      <c r="G32" s="7">
        <v>6000</v>
      </c>
      <c r="H32" s="7">
        <f t="shared" si="0"/>
        <v>198000</v>
      </c>
      <c r="I32" s="8">
        <v>0.15</v>
      </c>
      <c r="J32" s="7">
        <f t="shared" si="1"/>
        <v>168300</v>
      </c>
    </row>
    <row r="33" spans="1:10">
      <c r="A33" s="6">
        <v>46241</v>
      </c>
      <c r="B33" t="s">
        <v>10</v>
      </c>
      <c r="C33" t="s">
        <v>45</v>
      </c>
      <c r="D33" t="s">
        <v>12</v>
      </c>
      <c r="E33" t="s">
        <v>46</v>
      </c>
      <c r="F33" s="7">
        <v>8</v>
      </c>
      <c r="G33" s="7">
        <v>12000</v>
      </c>
      <c r="H33" s="7">
        <f t="shared" si="0"/>
        <v>96000</v>
      </c>
      <c r="I33" s="8">
        <v>0.15</v>
      </c>
      <c r="J33" s="7">
        <f t="shared" si="1"/>
        <v>81600</v>
      </c>
    </row>
    <row r="34" spans="1:10">
      <c r="A34" s="6">
        <v>46241</v>
      </c>
      <c r="B34" t="s">
        <v>15</v>
      </c>
      <c r="C34" t="s">
        <v>21</v>
      </c>
      <c r="D34" t="s">
        <v>12</v>
      </c>
      <c r="E34" t="s">
        <v>13</v>
      </c>
      <c r="F34" s="7">
        <v>13</v>
      </c>
      <c r="G34" s="7">
        <v>15000</v>
      </c>
      <c r="H34" s="7">
        <f t="shared" ref="H34:H65" si="2">F34*G34</f>
        <v>195000</v>
      </c>
      <c r="I34" s="8">
        <v>0.15</v>
      </c>
      <c r="J34" s="7">
        <f t="shared" ref="J34:J65" si="3">ROUND(H34*(1-I34),0)</f>
        <v>165750</v>
      </c>
    </row>
    <row r="35" spans="1:10">
      <c r="A35" s="6">
        <v>46241</v>
      </c>
      <c r="B35" t="s">
        <v>15</v>
      </c>
      <c r="C35" t="s">
        <v>16</v>
      </c>
      <c r="D35" t="s">
        <v>17</v>
      </c>
      <c r="E35" t="s">
        <v>18</v>
      </c>
      <c r="F35" s="7">
        <v>14</v>
      </c>
      <c r="G35" s="7">
        <v>2500</v>
      </c>
      <c r="H35" s="7">
        <f t="shared" si="2"/>
        <v>35000</v>
      </c>
      <c r="I35" s="8">
        <v>0.15</v>
      </c>
      <c r="J35" s="7">
        <f t="shared" si="3"/>
        <v>29750</v>
      </c>
    </row>
    <row r="36" spans="1:10">
      <c r="A36" s="6">
        <v>46242</v>
      </c>
      <c r="B36" t="s">
        <v>20</v>
      </c>
      <c r="C36" t="s">
        <v>45</v>
      </c>
      <c r="D36" t="s">
        <v>12</v>
      </c>
      <c r="E36" t="s">
        <v>46</v>
      </c>
      <c r="F36" s="7">
        <v>6</v>
      </c>
      <c r="G36" s="7">
        <v>12000</v>
      </c>
      <c r="H36" s="7">
        <f t="shared" si="2"/>
        <v>72000</v>
      </c>
      <c r="I36" s="8">
        <v>0.15</v>
      </c>
      <c r="J36" s="7">
        <f t="shared" si="3"/>
        <v>61200</v>
      </c>
    </row>
    <row r="37" spans="1:10">
      <c r="A37" s="6">
        <v>46242</v>
      </c>
      <c r="B37" t="s">
        <v>10</v>
      </c>
      <c r="C37" t="s">
        <v>16</v>
      </c>
      <c r="D37" t="s">
        <v>17</v>
      </c>
      <c r="E37" t="s">
        <v>18</v>
      </c>
      <c r="F37" s="7">
        <v>30</v>
      </c>
      <c r="G37" s="7">
        <v>2500</v>
      </c>
      <c r="H37" s="7">
        <f t="shared" si="2"/>
        <v>75000</v>
      </c>
      <c r="I37" s="8">
        <v>0.15</v>
      </c>
      <c r="J37" s="7">
        <f t="shared" si="3"/>
        <v>63750</v>
      </c>
    </row>
    <row r="38" spans="1:10">
      <c r="A38" s="6">
        <v>46242</v>
      </c>
      <c r="B38" t="s">
        <v>20</v>
      </c>
      <c r="C38" t="s">
        <v>32</v>
      </c>
      <c r="D38" t="s">
        <v>12</v>
      </c>
      <c r="E38" t="s">
        <v>33</v>
      </c>
      <c r="F38" s="7">
        <v>8</v>
      </c>
      <c r="G38" s="7">
        <v>18000</v>
      </c>
      <c r="H38" s="7">
        <f t="shared" si="2"/>
        <v>144000</v>
      </c>
      <c r="I38" s="8">
        <v>0.15</v>
      </c>
      <c r="J38" s="7">
        <f t="shared" si="3"/>
        <v>122400</v>
      </c>
    </row>
    <row r="39" spans="1:10">
      <c r="A39" s="6">
        <v>46242</v>
      </c>
      <c r="B39" t="s">
        <v>15</v>
      </c>
      <c r="C39" t="s">
        <v>48</v>
      </c>
      <c r="D39" t="s">
        <v>49</v>
      </c>
      <c r="E39" t="s">
        <v>54</v>
      </c>
      <c r="F39" s="7">
        <v>8</v>
      </c>
      <c r="G39" s="7">
        <v>18000</v>
      </c>
      <c r="H39" s="7">
        <f t="shared" si="2"/>
        <v>144000</v>
      </c>
      <c r="I39" s="8">
        <v>0.15</v>
      </c>
      <c r="J39" s="7">
        <f t="shared" si="3"/>
        <v>122400</v>
      </c>
    </row>
    <row r="40" spans="1:10">
      <c r="A40" s="6">
        <v>46246</v>
      </c>
      <c r="B40" t="s">
        <v>10</v>
      </c>
      <c r="C40" t="s">
        <v>21</v>
      </c>
      <c r="D40" t="s">
        <v>12</v>
      </c>
      <c r="E40" t="s">
        <v>13</v>
      </c>
      <c r="F40" s="7">
        <v>16</v>
      </c>
      <c r="G40" s="7">
        <v>15000</v>
      </c>
      <c r="H40" s="7">
        <f t="shared" si="2"/>
        <v>240000</v>
      </c>
      <c r="I40" s="8">
        <v>0.15</v>
      </c>
      <c r="J40" s="7">
        <f t="shared" si="3"/>
        <v>204000</v>
      </c>
    </row>
    <row r="41" spans="1:10">
      <c r="A41" s="6">
        <v>46246</v>
      </c>
      <c r="B41" t="s">
        <v>15</v>
      </c>
      <c r="C41" t="s">
        <v>41</v>
      </c>
      <c r="D41" t="s">
        <v>17</v>
      </c>
      <c r="E41" t="s">
        <v>42</v>
      </c>
      <c r="F41" s="7">
        <v>29</v>
      </c>
      <c r="G41" s="7">
        <v>2000</v>
      </c>
      <c r="H41" s="7">
        <f t="shared" si="2"/>
        <v>58000</v>
      </c>
      <c r="I41" s="8">
        <v>0.15</v>
      </c>
      <c r="J41" s="7">
        <f t="shared" si="3"/>
        <v>49300</v>
      </c>
    </row>
    <row r="42" spans="1:10">
      <c r="A42" s="6">
        <v>46247</v>
      </c>
      <c r="B42" t="s">
        <v>15</v>
      </c>
      <c r="C42" t="s">
        <v>43</v>
      </c>
      <c r="D42" t="s">
        <v>39</v>
      </c>
      <c r="E42" t="s">
        <v>44</v>
      </c>
      <c r="F42" s="7">
        <v>5</v>
      </c>
      <c r="G42" s="7">
        <v>12000</v>
      </c>
      <c r="H42" s="7">
        <f t="shared" si="2"/>
        <v>60000</v>
      </c>
      <c r="I42" s="8">
        <v>0.15</v>
      </c>
      <c r="J42" s="7">
        <f t="shared" si="3"/>
        <v>51000</v>
      </c>
    </row>
    <row r="43" spans="1:10">
      <c r="A43" s="6">
        <v>46251</v>
      </c>
      <c r="B43" t="s">
        <v>10</v>
      </c>
      <c r="C43" t="s">
        <v>55</v>
      </c>
      <c r="D43" t="s">
        <v>17</v>
      </c>
      <c r="E43" t="s">
        <v>29</v>
      </c>
      <c r="F43" s="7">
        <v>15</v>
      </c>
      <c r="G43" s="7">
        <v>3000</v>
      </c>
      <c r="H43" s="7">
        <f t="shared" si="2"/>
        <v>45000</v>
      </c>
      <c r="I43" s="8">
        <v>0.15</v>
      </c>
      <c r="J43" s="7">
        <f t="shared" si="3"/>
        <v>38250</v>
      </c>
    </row>
    <row r="44" spans="1:10">
      <c r="A44" s="6">
        <v>46255</v>
      </c>
      <c r="B44" t="s">
        <v>10</v>
      </c>
      <c r="C44" t="s">
        <v>30</v>
      </c>
      <c r="D44" t="s">
        <v>17</v>
      </c>
      <c r="E44" t="s">
        <v>31</v>
      </c>
      <c r="F44" s="7">
        <v>22</v>
      </c>
      <c r="G44" s="7">
        <v>2000</v>
      </c>
      <c r="H44" s="7">
        <f t="shared" si="2"/>
        <v>44000</v>
      </c>
      <c r="I44" s="8">
        <v>0.15</v>
      </c>
      <c r="J44" s="7">
        <f t="shared" si="3"/>
        <v>37400</v>
      </c>
    </row>
    <row r="45" spans="1:10">
      <c r="A45" s="6">
        <v>46256</v>
      </c>
      <c r="B45" t="s">
        <v>10</v>
      </c>
      <c r="C45" t="s">
        <v>32</v>
      </c>
      <c r="D45" t="s">
        <v>12</v>
      </c>
      <c r="E45" t="s">
        <v>33</v>
      </c>
      <c r="F45" s="7">
        <v>17</v>
      </c>
      <c r="G45" s="7">
        <v>18000</v>
      </c>
      <c r="H45" s="7">
        <f t="shared" si="2"/>
        <v>306000</v>
      </c>
      <c r="I45" s="8">
        <v>0.15</v>
      </c>
      <c r="J45" s="7">
        <f t="shared" si="3"/>
        <v>260100</v>
      </c>
    </row>
    <row r="46" spans="1:10">
      <c r="A46" s="6">
        <v>46257</v>
      </c>
      <c r="B46" t="s">
        <v>10</v>
      </c>
      <c r="C46" t="s">
        <v>23</v>
      </c>
      <c r="D46" t="s">
        <v>24</v>
      </c>
      <c r="E46" t="s">
        <v>25</v>
      </c>
      <c r="F46" s="7">
        <v>21</v>
      </c>
      <c r="G46" s="7">
        <v>9000</v>
      </c>
      <c r="H46" s="7">
        <f t="shared" si="2"/>
        <v>189000</v>
      </c>
      <c r="I46" s="8">
        <v>0.15</v>
      </c>
      <c r="J46" s="7">
        <f t="shared" si="3"/>
        <v>160650</v>
      </c>
    </row>
    <row r="47" spans="1:10">
      <c r="A47" s="6">
        <v>46257</v>
      </c>
      <c r="B47" t="s">
        <v>20</v>
      </c>
      <c r="C47" t="s">
        <v>32</v>
      </c>
      <c r="D47" t="s">
        <v>12</v>
      </c>
      <c r="E47" t="s">
        <v>33</v>
      </c>
      <c r="F47" s="7">
        <v>11</v>
      </c>
      <c r="G47" s="7">
        <v>18000</v>
      </c>
      <c r="H47" s="7">
        <f t="shared" si="2"/>
        <v>198000</v>
      </c>
      <c r="I47" s="8">
        <v>0.15</v>
      </c>
      <c r="J47" s="7">
        <f t="shared" si="3"/>
        <v>168300</v>
      </c>
    </row>
    <row r="48" spans="1:10">
      <c r="A48" s="6">
        <v>46257</v>
      </c>
      <c r="B48" t="s">
        <v>10</v>
      </c>
      <c r="C48" t="s">
        <v>30</v>
      </c>
      <c r="D48" t="s">
        <v>17</v>
      </c>
      <c r="E48" t="s">
        <v>31</v>
      </c>
      <c r="F48" s="7">
        <v>16</v>
      </c>
      <c r="G48" s="7">
        <v>2000</v>
      </c>
      <c r="H48" s="7">
        <f t="shared" si="2"/>
        <v>32000</v>
      </c>
      <c r="I48" s="8">
        <v>0.15</v>
      </c>
      <c r="J48" s="7">
        <f t="shared" si="3"/>
        <v>27200</v>
      </c>
    </row>
    <row r="49" spans="1:10">
      <c r="A49" s="6">
        <v>46258</v>
      </c>
      <c r="B49" t="s">
        <v>10</v>
      </c>
      <c r="C49" t="s">
        <v>45</v>
      </c>
      <c r="D49" t="s">
        <v>12</v>
      </c>
      <c r="E49" t="s">
        <v>46</v>
      </c>
      <c r="F49" s="7">
        <v>12</v>
      </c>
      <c r="G49" s="7">
        <v>12000</v>
      </c>
      <c r="H49" s="7">
        <f t="shared" si="2"/>
        <v>144000</v>
      </c>
      <c r="I49" s="8">
        <v>0.15</v>
      </c>
      <c r="J49" s="7">
        <f t="shared" si="3"/>
        <v>122400</v>
      </c>
    </row>
    <row r="50" spans="1:10">
      <c r="A50" s="6">
        <v>46260</v>
      </c>
      <c r="B50" t="s">
        <v>15</v>
      </c>
      <c r="C50" t="s">
        <v>32</v>
      </c>
      <c r="D50" t="s">
        <v>12</v>
      </c>
      <c r="E50" t="s">
        <v>33</v>
      </c>
      <c r="F50" s="7">
        <v>10</v>
      </c>
      <c r="G50" s="7">
        <v>18000</v>
      </c>
      <c r="H50" s="7">
        <f t="shared" si="2"/>
        <v>180000</v>
      </c>
      <c r="I50" s="8">
        <v>0.15</v>
      </c>
      <c r="J50" s="7">
        <f t="shared" si="3"/>
        <v>153000</v>
      </c>
    </row>
    <row r="51" spans="1:10">
      <c r="A51" s="6">
        <v>46261</v>
      </c>
      <c r="B51" t="s">
        <v>20</v>
      </c>
      <c r="C51" t="s">
        <v>32</v>
      </c>
      <c r="D51" t="s">
        <v>12</v>
      </c>
      <c r="E51" t="s">
        <v>33</v>
      </c>
      <c r="F51" s="7">
        <v>11</v>
      </c>
      <c r="G51" s="7">
        <v>18000</v>
      </c>
      <c r="H51" s="7">
        <f t="shared" si="2"/>
        <v>198000</v>
      </c>
      <c r="I51" s="8">
        <v>0.15</v>
      </c>
      <c r="J51" s="7">
        <f t="shared" si="3"/>
        <v>168300</v>
      </c>
    </row>
    <row r="52" spans="1:10">
      <c r="A52" s="6">
        <v>46261</v>
      </c>
      <c r="B52" t="s">
        <v>20</v>
      </c>
      <c r="C52" t="s">
        <v>16</v>
      </c>
      <c r="D52" t="s">
        <v>17</v>
      </c>
      <c r="E52" t="s">
        <v>18</v>
      </c>
      <c r="F52" s="7">
        <v>18</v>
      </c>
      <c r="G52" s="7">
        <v>2500</v>
      </c>
      <c r="H52" s="7">
        <f t="shared" si="2"/>
        <v>45000</v>
      </c>
      <c r="I52" s="8">
        <v>0.15</v>
      </c>
      <c r="J52" s="7">
        <f t="shared" si="3"/>
        <v>38250</v>
      </c>
    </row>
    <row r="53" spans="1:10">
      <c r="A53" s="6">
        <v>46264</v>
      </c>
      <c r="B53" t="s">
        <v>15</v>
      </c>
      <c r="C53" t="s">
        <v>26</v>
      </c>
      <c r="D53" t="s">
        <v>17</v>
      </c>
      <c r="E53" t="s">
        <v>27</v>
      </c>
      <c r="F53" s="7">
        <v>17</v>
      </c>
      <c r="G53" s="7">
        <v>5000</v>
      </c>
      <c r="H53" s="7">
        <f t="shared" si="2"/>
        <v>85000</v>
      </c>
      <c r="I53" s="8">
        <v>0.15</v>
      </c>
      <c r="J53" s="7">
        <f t="shared" si="3"/>
        <v>72250</v>
      </c>
    </row>
    <row r="54" spans="1:10">
      <c r="A54" s="6">
        <v>46268</v>
      </c>
      <c r="B54" t="s">
        <v>20</v>
      </c>
      <c r="C54" t="s">
        <v>26</v>
      </c>
      <c r="D54" t="s">
        <v>17</v>
      </c>
      <c r="E54" t="s">
        <v>27</v>
      </c>
      <c r="F54" s="7">
        <v>16</v>
      </c>
      <c r="G54" s="7">
        <v>5000</v>
      </c>
      <c r="H54" s="7">
        <f t="shared" si="2"/>
        <v>80000</v>
      </c>
      <c r="I54" s="8">
        <v>0.15</v>
      </c>
      <c r="J54" s="7">
        <f t="shared" si="3"/>
        <v>68000</v>
      </c>
    </row>
    <row r="55" spans="1:10">
      <c r="A55" s="6">
        <v>46269</v>
      </c>
      <c r="B55" t="s">
        <v>15</v>
      </c>
      <c r="C55" t="s">
        <v>38</v>
      </c>
      <c r="D55" t="s">
        <v>39</v>
      </c>
      <c r="E55" t="s">
        <v>40</v>
      </c>
      <c r="F55" s="7">
        <v>3</v>
      </c>
      <c r="G55" s="7">
        <v>25000</v>
      </c>
      <c r="H55" s="7">
        <f t="shared" si="2"/>
        <v>75000</v>
      </c>
      <c r="I55" s="8">
        <v>0.15</v>
      </c>
      <c r="J55" s="7">
        <f t="shared" si="3"/>
        <v>63750</v>
      </c>
    </row>
    <row r="56" spans="1:10">
      <c r="A56" s="6">
        <v>46269</v>
      </c>
      <c r="B56" t="s">
        <v>20</v>
      </c>
      <c r="C56" t="s">
        <v>16</v>
      </c>
      <c r="D56" t="s">
        <v>17</v>
      </c>
      <c r="E56" t="s">
        <v>18</v>
      </c>
      <c r="F56" s="7">
        <v>19</v>
      </c>
      <c r="G56" s="7">
        <v>2500</v>
      </c>
      <c r="H56" s="7">
        <f t="shared" si="2"/>
        <v>47500</v>
      </c>
      <c r="I56" s="8">
        <v>0.15</v>
      </c>
      <c r="J56" s="7">
        <f t="shared" si="3"/>
        <v>40375</v>
      </c>
    </row>
    <row r="57" spans="1:10">
      <c r="A57" s="6">
        <v>46269</v>
      </c>
      <c r="B57" t="s">
        <v>10</v>
      </c>
      <c r="C57" t="s">
        <v>45</v>
      </c>
      <c r="D57" t="s">
        <v>12</v>
      </c>
      <c r="E57" t="s">
        <v>46</v>
      </c>
      <c r="F57" s="7">
        <v>18</v>
      </c>
      <c r="G57" s="7">
        <v>12000</v>
      </c>
      <c r="H57" s="7">
        <f t="shared" si="2"/>
        <v>216000</v>
      </c>
      <c r="I57" s="8">
        <v>0.15</v>
      </c>
      <c r="J57" s="7">
        <f t="shared" si="3"/>
        <v>183600</v>
      </c>
    </row>
    <row r="58" spans="1:10">
      <c r="A58" s="6">
        <v>46272</v>
      </c>
      <c r="B58" t="s">
        <v>10</v>
      </c>
      <c r="C58" t="s">
        <v>45</v>
      </c>
      <c r="D58" t="s">
        <v>12</v>
      </c>
      <c r="E58" t="s">
        <v>46</v>
      </c>
      <c r="F58" s="7">
        <v>9</v>
      </c>
      <c r="G58" s="7">
        <v>12000</v>
      </c>
      <c r="H58" s="7">
        <f t="shared" si="2"/>
        <v>108000</v>
      </c>
      <c r="I58" s="8">
        <v>0.15</v>
      </c>
      <c r="J58" s="7">
        <f t="shared" si="3"/>
        <v>91800</v>
      </c>
    </row>
    <row r="59" spans="1:10">
      <c r="A59" s="6">
        <v>46273</v>
      </c>
      <c r="B59" t="s">
        <v>20</v>
      </c>
      <c r="C59" t="s">
        <v>45</v>
      </c>
      <c r="D59" t="s">
        <v>12</v>
      </c>
      <c r="E59" t="s">
        <v>46</v>
      </c>
      <c r="F59" s="7">
        <v>14</v>
      </c>
      <c r="G59" s="7">
        <v>12000</v>
      </c>
      <c r="H59" s="7">
        <f t="shared" si="2"/>
        <v>168000</v>
      </c>
      <c r="I59" s="8">
        <v>0.15</v>
      </c>
      <c r="J59" s="7">
        <f t="shared" si="3"/>
        <v>142800</v>
      </c>
    </row>
    <row r="60" spans="1:10">
      <c r="A60" s="6">
        <v>46274</v>
      </c>
      <c r="B60" t="s">
        <v>10</v>
      </c>
      <c r="C60" t="s">
        <v>16</v>
      </c>
      <c r="D60" t="s">
        <v>17</v>
      </c>
      <c r="E60" t="s">
        <v>18</v>
      </c>
      <c r="F60" s="7">
        <v>18</v>
      </c>
      <c r="G60" s="7">
        <v>2500</v>
      </c>
      <c r="H60" s="7">
        <f t="shared" si="2"/>
        <v>45000</v>
      </c>
      <c r="I60" s="8">
        <v>0.15</v>
      </c>
      <c r="J60" s="7">
        <f t="shared" si="3"/>
        <v>38250</v>
      </c>
    </row>
    <row r="61" spans="1:10">
      <c r="A61" s="6">
        <v>46274</v>
      </c>
      <c r="B61" t="s">
        <v>10</v>
      </c>
      <c r="C61" t="s">
        <v>23</v>
      </c>
      <c r="D61" t="s">
        <v>24</v>
      </c>
      <c r="E61" t="s">
        <v>25</v>
      </c>
      <c r="F61" s="7">
        <v>17</v>
      </c>
      <c r="G61" s="7">
        <v>9000</v>
      </c>
      <c r="H61" s="7">
        <f t="shared" si="2"/>
        <v>153000</v>
      </c>
      <c r="I61" s="8">
        <v>0.15</v>
      </c>
      <c r="J61" s="7">
        <f t="shared" si="3"/>
        <v>130050</v>
      </c>
    </row>
    <row r="62" spans="1:10">
      <c r="A62" s="6">
        <v>46276</v>
      </c>
      <c r="B62" t="s">
        <v>20</v>
      </c>
      <c r="C62" t="s">
        <v>26</v>
      </c>
      <c r="D62" t="s">
        <v>17</v>
      </c>
      <c r="E62" t="s">
        <v>27</v>
      </c>
      <c r="F62" s="7">
        <v>28</v>
      </c>
      <c r="G62" s="7">
        <v>5000</v>
      </c>
      <c r="H62" s="7">
        <f t="shared" si="2"/>
        <v>140000</v>
      </c>
      <c r="I62" s="8">
        <v>0.15</v>
      </c>
      <c r="J62" s="7">
        <f t="shared" si="3"/>
        <v>119000</v>
      </c>
    </row>
    <row r="63" spans="1:10">
      <c r="A63" s="6">
        <v>46277</v>
      </c>
      <c r="B63" t="s">
        <v>15</v>
      </c>
      <c r="C63" t="s">
        <v>45</v>
      </c>
      <c r="D63" t="s">
        <v>12</v>
      </c>
      <c r="E63" t="s">
        <v>46</v>
      </c>
      <c r="F63" s="7">
        <v>9</v>
      </c>
      <c r="G63" s="7">
        <v>12000</v>
      </c>
      <c r="H63" s="7">
        <f t="shared" si="2"/>
        <v>108000</v>
      </c>
      <c r="I63" s="8">
        <v>0.15</v>
      </c>
      <c r="J63" s="7">
        <f t="shared" si="3"/>
        <v>91800</v>
      </c>
    </row>
    <row r="64" spans="1:10">
      <c r="A64" s="6">
        <v>46277</v>
      </c>
      <c r="B64" t="s">
        <v>15</v>
      </c>
      <c r="C64" t="s">
        <v>45</v>
      </c>
      <c r="D64" t="s">
        <v>12</v>
      </c>
      <c r="E64" t="s">
        <v>46</v>
      </c>
      <c r="F64" s="7">
        <v>10</v>
      </c>
      <c r="G64" s="7">
        <v>12000</v>
      </c>
      <c r="H64" s="7">
        <f t="shared" si="2"/>
        <v>120000</v>
      </c>
      <c r="I64" s="8">
        <v>0.15</v>
      </c>
      <c r="J64" s="7">
        <f t="shared" si="3"/>
        <v>102000</v>
      </c>
    </row>
    <row r="65" spans="1:10">
      <c r="A65" s="6">
        <v>46285</v>
      </c>
      <c r="B65" t="s">
        <v>15</v>
      </c>
      <c r="C65" t="s">
        <v>23</v>
      </c>
      <c r="D65" t="s">
        <v>24</v>
      </c>
      <c r="E65" t="s">
        <v>25</v>
      </c>
      <c r="F65" s="7">
        <v>13</v>
      </c>
      <c r="G65" s="7">
        <v>9000</v>
      </c>
      <c r="H65" s="7">
        <f t="shared" si="2"/>
        <v>117000</v>
      </c>
      <c r="I65" s="8">
        <v>0.15</v>
      </c>
      <c r="J65" s="7">
        <f t="shared" si="3"/>
        <v>99450</v>
      </c>
    </row>
    <row r="66" spans="1:10">
      <c r="A66" s="6">
        <v>46285</v>
      </c>
      <c r="B66" t="s">
        <v>15</v>
      </c>
      <c r="C66" t="s">
        <v>21</v>
      </c>
      <c r="D66" t="s">
        <v>12</v>
      </c>
      <c r="E66" t="s">
        <v>13</v>
      </c>
      <c r="F66" s="7">
        <v>9</v>
      </c>
      <c r="G66" s="7">
        <v>15000</v>
      </c>
      <c r="H66" s="7">
        <f t="shared" ref="H66:H97" si="4">F66*G66</f>
        <v>135000</v>
      </c>
      <c r="I66" s="8">
        <v>0.15</v>
      </c>
      <c r="J66" s="7">
        <f t="shared" ref="J66:J97" si="5">ROUND(H66*(1-I66),0)</f>
        <v>114750</v>
      </c>
    </row>
    <row r="67" spans="1:10">
      <c r="A67" s="6">
        <v>46287</v>
      </c>
      <c r="B67" t="s">
        <v>20</v>
      </c>
      <c r="C67" t="s">
        <v>45</v>
      </c>
      <c r="D67" t="s">
        <v>12</v>
      </c>
      <c r="E67" t="s">
        <v>46</v>
      </c>
      <c r="F67" s="7">
        <v>18</v>
      </c>
      <c r="G67" s="7">
        <v>12000</v>
      </c>
      <c r="H67" s="7">
        <f t="shared" si="4"/>
        <v>216000</v>
      </c>
      <c r="I67" s="8">
        <v>0.15</v>
      </c>
      <c r="J67" s="7">
        <f t="shared" si="5"/>
        <v>183600</v>
      </c>
    </row>
    <row r="68" spans="1:10">
      <c r="A68" s="6">
        <v>46288</v>
      </c>
      <c r="B68" t="s">
        <v>10</v>
      </c>
      <c r="C68" t="s">
        <v>11</v>
      </c>
      <c r="D68" t="s">
        <v>12</v>
      </c>
      <c r="E68" t="s">
        <v>13</v>
      </c>
      <c r="F68" s="7">
        <v>12</v>
      </c>
      <c r="G68" s="7">
        <v>15000</v>
      </c>
      <c r="H68" s="7">
        <f t="shared" si="4"/>
        <v>180000</v>
      </c>
      <c r="I68" s="8">
        <v>0.15</v>
      </c>
      <c r="J68" s="7">
        <f t="shared" si="5"/>
        <v>153000</v>
      </c>
    </row>
    <row r="69" spans="1:10">
      <c r="A69" s="6">
        <v>46288</v>
      </c>
      <c r="B69" t="s">
        <v>10</v>
      </c>
      <c r="C69" t="s">
        <v>28</v>
      </c>
      <c r="D69" t="s">
        <v>17</v>
      </c>
      <c r="E69" t="s">
        <v>29</v>
      </c>
      <c r="F69" s="7">
        <v>20</v>
      </c>
      <c r="G69" s="7">
        <v>3000</v>
      </c>
      <c r="H69" s="7">
        <f t="shared" si="4"/>
        <v>60000</v>
      </c>
      <c r="I69" s="8">
        <v>0.15</v>
      </c>
      <c r="J69" s="7">
        <f t="shared" si="5"/>
        <v>51000</v>
      </c>
    </row>
    <row r="70" spans="1:10">
      <c r="A70" s="6">
        <v>46288</v>
      </c>
      <c r="B70" t="s">
        <v>15</v>
      </c>
      <c r="C70" t="s">
        <v>43</v>
      </c>
      <c r="D70" t="s">
        <v>39</v>
      </c>
      <c r="E70" t="s">
        <v>44</v>
      </c>
      <c r="F70" s="7">
        <v>7</v>
      </c>
      <c r="G70" s="7">
        <v>12000</v>
      </c>
      <c r="H70" s="7">
        <f t="shared" si="4"/>
        <v>84000</v>
      </c>
      <c r="I70" s="8">
        <v>0.15</v>
      </c>
      <c r="J70" s="7">
        <f t="shared" si="5"/>
        <v>71400</v>
      </c>
    </row>
    <row r="71" spans="1:10">
      <c r="A71" s="6">
        <v>46288</v>
      </c>
      <c r="B71" t="s">
        <v>20</v>
      </c>
      <c r="C71" t="s">
        <v>41</v>
      </c>
      <c r="D71" t="s">
        <v>17</v>
      </c>
      <c r="E71" t="s">
        <v>42</v>
      </c>
      <c r="F71" s="7">
        <v>24</v>
      </c>
      <c r="G71" s="7">
        <v>2000</v>
      </c>
      <c r="H71" s="7">
        <f t="shared" si="4"/>
        <v>48000</v>
      </c>
      <c r="I71" s="8">
        <v>0.15</v>
      </c>
      <c r="J71" s="7">
        <f t="shared" si="5"/>
        <v>40800</v>
      </c>
    </row>
    <row r="72" spans="1:10">
      <c r="A72" s="6">
        <v>46288</v>
      </c>
      <c r="B72" t="s">
        <v>20</v>
      </c>
      <c r="C72" t="s">
        <v>41</v>
      </c>
      <c r="D72" t="s">
        <v>17</v>
      </c>
      <c r="E72" t="s">
        <v>42</v>
      </c>
      <c r="F72" s="7">
        <v>14</v>
      </c>
      <c r="G72" s="7">
        <v>2000</v>
      </c>
      <c r="H72" s="7">
        <f t="shared" si="4"/>
        <v>28000</v>
      </c>
      <c r="I72" s="8">
        <v>0.15</v>
      </c>
      <c r="J72" s="7">
        <f t="shared" si="5"/>
        <v>23800</v>
      </c>
    </row>
    <row r="73" spans="1:10">
      <c r="A73" s="6">
        <v>46289</v>
      </c>
      <c r="B73" t="s">
        <v>15</v>
      </c>
      <c r="C73" t="s">
        <v>21</v>
      </c>
      <c r="D73" t="s">
        <v>12</v>
      </c>
      <c r="E73" t="s">
        <v>13</v>
      </c>
      <c r="F73" s="7">
        <v>18</v>
      </c>
      <c r="G73" s="7">
        <v>15000</v>
      </c>
      <c r="H73" s="7">
        <f t="shared" si="4"/>
        <v>270000</v>
      </c>
      <c r="I73" s="8">
        <v>0.15</v>
      </c>
      <c r="J73" s="7">
        <f t="shared" si="5"/>
        <v>229500</v>
      </c>
    </row>
    <row r="74" spans="1:10">
      <c r="A74" s="6">
        <v>46290</v>
      </c>
      <c r="B74" t="s">
        <v>15</v>
      </c>
      <c r="C74" t="s">
        <v>11</v>
      </c>
      <c r="D74" t="s">
        <v>12</v>
      </c>
      <c r="E74" t="s">
        <v>13</v>
      </c>
      <c r="F74" s="7">
        <v>10</v>
      </c>
      <c r="G74" s="7">
        <v>15000</v>
      </c>
      <c r="H74" s="7">
        <f t="shared" si="4"/>
        <v>150000</v>
      </c>
      <c r="I74" s="8">
        <v>0.15</v>
      </c>
      <c r="J74" s="7">
        <f t="shared" si="5"/>
        <v>127500</v>
      </c>
    </row>
    <row r="75" spans="1:10">
      <c r="A75" s="6">
        <v>46290</v>
      </c>
      <c r="B75" t="s">
        <v>20</v>
      </c>
      <c r="C75" t="s">
        <v>21</v>
      </c>
      <c r="D75" t="s">
        <v>12</v>
      </c>
      <c r="E75" t="s">
        <v>13</v>
      </c>
      <c r="F75" s="7">
        <v>18</v>
      </c>
      <c r="G75" s="7">
        <v>15000</v>
      </c>
      <c r="H75" s="7">
        <f t="shared" si="4"/>
        <v>270000</v>
      </c>
      <c r="I75" s="8">
        <v>0.15</v>
      </c>
      <c r="J75" s="7">
        <f t="shared" si="5"/>
        <v>229500</v>
      </c>
    </row>
    <row r="76" spans="1:10">
      <c r="A76" s="6">
        <v>46292</v>
      </c>
      <c r="B76" t="s">
        <v>20</v>
      </c>
      <c r="C76" t="s">
        <v>26</v>
      </c>
      <c r="D76" t="s">
        <v>17</v>
      </c>
      <c r="E76" t="s">
        <v>27</v>
      </c>
      <c r="F76" s="7">
        <v>16</v>
      </c>
      <c r="G76" s="7">
        <v>5000</v>
      </c>
      <c r="H76" s="7">
        <f t="shared" si="4"/>
        <v>80000</v>
      </c>
      <c r="I76" s="8">
        <v>0.15</v>
      </c>
      <c r="J76" s="7">
        <f t="shared" si="5"/>
        <v>68000</v>
      </c>
    </row>
    <row r="77" spans="1:10">
      <c r="A77" s="6">
        <v>46293</v>
      </c>
      <c r="B77" t="s">
        <v>10</v>
      </c>
      <c r="C77" t="s">
        <v>16</v>
      </c>
      <c r="D77" t="s">
        <v>17</v>
      </c>
      <c r="E77" t="s">
        <v>18</v>
      </c>
      <c r="F77" s="7">
        <v>15</v>
      </c>
      <c r="G77" s="7">
        <v>2500</v>
      </c>
      <c r="H77" s="7">
        <f t="shared" si="4"/>
        <v>37500</v>
      </c>
      <c r="I77" s="8">
        <v>0.15</v>
      </c>
      <c r="J77" s="7">
        <f t="shared" si="5"/>
        <v>31875</v>
      </c>
    </row>
    <row r="78" spans="1:10">
      <c r="A78" s="6">
        <v>46295</v>
      </c>
      <c r="B78" t="s">
        <v>10</v>
      </c>
      <c r="C78" t="s">
        <v>45</v>
      </c>
      <c r="D78" t="s">
        <v>12</v>
      </c>
      <c r="E78" t="s">
        <v>46</v>
      </c>
      <c r="F78" s="7">
        <v>6</v>
      </c>
      <c r="G78" s="7">
        <v>12000</v>
      </c>
      <c r="H78" s="7">
        <f t="shared" si="4"/>
        <v>72000</v>
      </c>
      <c r="I78" s="8">
        <v>0.15</v>
      </c>
      <c r="J78" s="7">
        <f t="shared" si="5"/>
        <v>61200</v>
      </c>
    </row>
    <row r="79" spans="1:10">
      <c r="A79" s="6">
        <v>46295</v>
      </c>
      <c r="B79" t="s">
        <v>20</v>
      </c>
      <c r="C79" t="s">
        <v>11</v>
      </c>
      <c r="D79" t="s">
        <v>12</v>
      </c>
      <c r="E79" t="s">
        <v>13</v>
      </c>
      <c r="F79" s="7">
        <v>8</v>
      </c>
      <c r="G79" s="7">
        <v>15000</v>
      </c>
      <c r="H79" s="7">
        <f t="shared" si="4"/>
        <v>120000</v>
      </c>
      <c r="I79" s="8">
        <v>0.15</v>
      </c>
      <c r="J79" s="7">
        <f t="shared" si="5"/>
        <v>102000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2" width="16" customWidth="1"/>
    <col min="3" max="3" width="18" customWidth="1"/>
    <col min="4" max="4" width="23" customWidth="1"/>
    <col min="5" max="5" width="24" customWidth="1"/>
    <col min="6" max="6" width="49" customWidth="1"/>
  </cols>
  <sheetData>
    <row r="1" spans="1:6" ht="28.05" customHeight="1">
      <c r="A1" s="9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</row>
    <row r="2" spans="1:6">
      <c r="A2" t="s">
        <v>62</v>
      </c>
      <c r="B2">
        <v>3</v>
      </c>
      <c r="C2" t="s">
        <v>0</v>
      </c>
      <c r="D2" t="s">
        <v>14</v>
      </c>
      <c r="E2" t="s">
        <v>63</v>
      </c>
      <c r="F2" t="s">
        <v>64</v>
      </c>
    </row>
    <row r="3" spans="1:6">
      <c r="A3" t="s">
        <v>62</v>
      </c>
      <c r="B3">
        <v>4</v>
      </c>
      <c r="C3" t="s">
        <v>0</v>
      </c>
      <c r="D3" t="s">
        <v>19</v>
      </c>
      <c r="E3" t="s">
        <v>63</v>
      </c>
      <c r="F3" t="s">
        <v>64</v>
      </c>
    </row>
    <row r="4" spans="1:6">
      <c r="A4" t="s">
        <v>65</v>
      </c>
      <c r="B4">
        <v>4</v>
      </c>
      <c r="C4" t="s">
        <v>4</v>
      </c>
      <c r="D4" t="s">
        <v>22</v>
      </c>
      <c r="E4" t="s">
        <v>13</v>
      </c>
      <c r="F4" t="s">
        <v>66</v>
      </c>
    </row>
    <row r="5" spans="1:6">
      <c r="A5" t="s">
        <v>67</v>
      </c>
      <c r="B5">
        <v>5</v>
      </c>
      <c r="C5" t="s">
        <v>7</v>
      </c>
      <c r="D5">
        <v>170000</v>
      </c>
      <c r="E5">
        <v>180000</v>
      </c>
      <c r="F5" t="s">
        <v>68</v>
      </c>
    </row>
    <row r="6" spans="1:6">
      <c r="A6" t="s">
        <v>69</v>
      </c>
      <c r="B6">
        <v>5</v>
      </c>
      <c r="C6" t="s">
        <v>9</v>
      </c>
      <c r="D6">
        <v>144500</v>
      </c>
      <c r="E6">
        <v>153000</v>
      </c>
      <c r="F6" t="s">
        <v>70</v>
      </c>
    </row>
    <row r="7" spans="1:6">
      <c r="A7" t="s">
        <v>71</v>
      </c>
      <c r="B7">
        <v>6</v>
      </c>
      <c r="C7" t="s">
        <v>72</v>
      </c>
      <c r="D7" t="s">
        <v>73</v>
      </c>
      <c r="E7" t="s">
        <v>74</v>
      </c>
      <c r="F7" t="s">
        <v>75</v>
      </c>
    </row>
    <row r="8" spans="1:6">
      <c r="A8" t="s">
        <v>62</v>
      </c>
      <c r="B8">
        <v>38</v>
      </c>
      <c r="C8" t="s">
        <v>0</v>
      </c>
      <c r="D8" t="s">
        <v>47</v>
      </c>
      <c r="E8" t="s">
        <v>76</v>
      </c>
      <c r="F8" t="s">
        <v>64</v>
      </c>
    </row>
    <row r="9" spans="1:6">
      <c r="A9" t="s">
        <v>65</v>
      </c>
      <c r="B9">
        <v>40</v>
      </c>
      <c r="C9" t="s">
        <v>4</v>
      </c>
      <c r="D9" t="s">
        <v>50</v>
      </c>
      <c r="E9" t="s">
        <v>54</v>
      </c>
      <c r="F9" t="s">
        <v>66</v>
      </c>
    </row>
    <row r="10" spans="1:6">
      <c r="A10" t="s">
        <v>77</v>
      </c>
      <c r="B10">
        <v>44</v>
      </c>
      <c r="C10" t="s">
        <v>78</v>
      </c>
      <c r="D10" t="s">
        <v>79</v>
      </c>
      <c r="E10" t="s">
        <v>55</v>
      </c>
      <c r="F10" t="s">
        <v>80</v>
      </c>
    </row>
    <row r="11" spans="1:6">
      <c r="A11" t="s">
        <v>71</v>
      </c>
      <c r="B11">
        <v>50</v>
      </c>
      <c r="C11" t="s">
        <v>72</v>
      </c>
      <c r="D11" t="s">
        <v>81</v>
      </c>
      <c r="E11" t="s">
        <v>74</v>
      </c>
      <c r="F11" t="s">
        <v>82</v>
      </c>
    </row>
    <row r="12" spans="1:6">
      <c r="A12" t="s">
        <v>65</v>
      </c>
      <c r="B12">
        <v>56</v>
      </c>
      <c r="C12" t="s">
        <v>4</v>
      </c>
      <c r="D12" t="s">
        <v>51</v>
      </c>
      <c r="E12" t="s">
        <v>27</v>
      </c>
      <c r="F12" t="s">
        <v>66</v>
      </c>
    </row>
    <row r="13" spans="1:6">
      <c r="A13" t="s">
        <v>62</v>
      </c>
      <c r="B13">
        <v>68</v>
      </c>
      <c r="C13" t="s">
        <v>0</v>
      </c>
      <c r="D13" t="s">
        <v>52</v>
      </c>
      <c r="E13" t="s">
        <v>83</v>
      </c>
      <c r="F13" t="s">
        <v>64</v>
      </c>
    </row>
    <row r="14" spans="1:6">
      <c r="A14" t="s">
        <v>65</v>
      </c>
      <c r="B14">
        <v>70</v>
      </c>
      <c r="C14" t="s">
        <v>4</v>
      </c>
      <c r="D14" t="s">
        <v>53</v>
      </c>
      <c r="E14" t="s">
        <v>13</v>
      </c>
      <c r="F14" t="s">
        <v>66</v>
      </c>
    </row>
    <row r="15" spans="1:6">
      <c r="A15" t="s">
        <v>67</v>
      </c>
      <c r="B15">
        <v>76</v>
      </c>
      <c r="C15" t="s">
        <v>7</v>
      </c>
      <c r="D15">
        <v>135000</v>
      </c>
      <c r="E15">
        <v>150000</v>
      </c>
      <c r="F15" t="s">
        <v>68</v>
      </c>
    </row>
    <row r="16" spans="1:6">
      <c r="A16" t="s">
        <v>69</v>
      </c>
      <c r="B16">
        <v>76</v>
      </c>
      <c r="C16" t="s">
        <v>9</v>
      </c>
      <c r="D16">
        <v>114750</v>
      </c>
      <c r="E16">
        <v>127500</v>
      </c>
      <c r="F16" t="s">
        <v>70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/>
  <cols>
    <col min="1" max="1" width="18" customWidth="1"/>
    <col min="2" max="2" width="19" customWidth="1"/>
  </cols>
  <sheetData>
    <row r="1" spans="1:3" ht="21.6" customHeight="1">
      <c r="A1" s="10" t="s">
        <v>84</v>
      </c>
      <c r="B1" s="10" t="s">
        <v>4</v>
      </c>
      <c r="C1" s="10" t="s">
        <v>85</v>
      </c>
    </row>
    <row r="2" spans="1:3">
      <c r="A2">
        <v>1</v>
      </c>
      <c r="B2" t="s">
        <v>13</v>
      </c>
      <c r="C2" s="7">
        <v>2205000</v>
      </c>
    </row>
    <row r="3" spans="1:3">
      <c r="A3">
        <v>2</v>
      </c>
      <c r="B3" t="s">
        <v>33</v>
      </c>
      <c r="C3" s="7">
        <v>2070000</v>
      </c>
    </row>
    <row r="4" spans="1:3">
      <c r="A4">
        <v>3</v>
      </c>
      <c r="B4" t="s">
        <v>46</v>
      </c>
      <c r="C4" s="7">
        <v>1440000</v>
      </c>
    </row>
    <row r="5" spans="1:3">
      <c r="A5">
        <v>4</v>
      </c>
      <c r="B5" t="s">
        <v>27</v>
      </c>
      <c r="C5" s="7">
        <v>655000</v>
      </c>
    </row>
    <row r="6" spans="1:3">
      <c r="A6">
        <v>5</v>
      </c>
      <c r="B6" t="s">
        <v>25</v>
      </c>
      <c r="C6" s="7">
        <v>639000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4"/>
  <cols>
    <col min="1" max="1" width="18" customWidth="1"/>
    <col min="2" max="5" width="19" customWidth="1"/>
  </cols>
  <sheetData>
    <row r="1" spans="1:5" ht="21.6" customHeight="1">
      <c r="A1" s="10" t="s">
        <v>1</v>
      </c>
      <c r="B1" s="10" t="s">
        <v>86</v>
      </c>
      <c r="C1" s="10" t="s">
        <v>87</v>
      </c>
      <c r="D1" s="10" t="s">
        <v>88</v>
      </c>
      <c r="E1" s="10" t="s">
        <v>89</v>
      </c>
    </row>
    <row r="2" spans="1:5">
      <c r="A2" t="s">
        <v>10</v>
      </c>
      <c r="B2" s="7">
        <v>988000</v>
      </c>
      <c r="C2" s="7">
        <v>1551500</v>
      </c>
      <c r="D2" s="7">
        <v>871500</v>
      </c>
      <c r="E2" s="7">
        <v>3411000</v>
      </c>
    </row>
    <row r="3" spans="1:5">
      <c r="A3" t="s">
        <v>20</v>
      </c>
      <c r="B3" s="7">
        <v>912000</v>
      </c>
      <c r="C3" s="7">
        <v>902000</v>
      </c>
      <c r="D3" s="7">
        <v>1197500</v>
      </c>
      <c r="E3" s="7">
        <v>3011500</v>
      </c>
    </row>
    <row r="4" spans="1:5">
      <c r="A4" t="s">
        <v>15</v>
      </c>
      <c r="B4" s="7">
        <v>1372000</v>
      </c>
      <c r="C4" s="7">
        <v>757000</v>
      </c>
      <c r="D4" s="7">
        <v>1059000</v>
      </c>
      <c r="E4" s="7">
        <v>3188000</v>
      </c>
    </row>
    <row r="5" spans="1:5">
      <c r="A5" t="s">
        <v>89</v>
      </c>
      <c r="B5" s="7">
        <v>3272000</v>
      </c>
      <c r="C5" s="7">
        <v>3210500</v>
      </c>
      <c r="D5" s="7">
        <v>3128000</v>
      </c>
      <c r="E5" s="7">
        <v>9610500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/>
  </sheetViews>
  <sheetFormatPr defaultRowHeight="14.4"/>
  <cols>
    <col min="1" max="1" width="23" customWidth="1"/>
    <col min="2" max="2" width="19" customWidth="1"/>
  </cols>
  <sheetData>
    <row r="1" spans="1:2" ht="21.6" customHeight="1">
      <c r="A1" s="10" t="s">
        <v>90</v>
      </c>
      <c r="B1" s="10" t="s">
        <v>91</v>
      </c>
    </row>
    <row r="2" spans="1:2">
      <c r="A2" t="s">
        <v>32</v>
      </c>
      <c r="B2" s="7">
        <v>1759500</v>
      </c>
    </row>
    <row r="3" spans="1:2">
      <c r="A3" t="s">
        <v>45</v>
      </c>
      <c r="B3" s="7">
        <v>1224000</v>
      </c>
    </row>
    <row r="4" spans="1:2">
      <c r="A4" t="s">
        <v>21</v>
      </c>
      <c r="B4" s="7">
        <v>1045500</v>
      </c>
    </row>
    <row r="5" spans="1:2">
      <c r="A5" t="s">
        <v>11</v>
      </c>
      <c r="B5" s="7">
        <v>828750</v>
      </c>
    </row>
    <row r="6" spans="1:2">
      <c r="A6" t="s">
        <v>26</v>
      </c>
      <c r="B6" s="7">
        <v>556750</v>
      </c>
    </row>
    <row r="7" spans="1:2">
      <c r="A7" t="s">
        <v>23</v>
      </c>
      <c r="B7" s="7">
        <v>543150</v>
      </c>
    </row>
    <row r="8" spans="1:2">
      <c r="A8" t="s">
        <v>16</v>
      </c>
      <c r="B8" s="7">
        <v>473875</v>
      </c>
    </row>
    <row r="9" spans="1:2">
      <c r="A9" t="s">
        <v>36</v>
      </c>
      <c r="B9" s="7">
        <v>464100</v>
      </c>
    </row>
    <row r="10" spans="1:2">
      <c r="A10" t="s">
        <v>28</v>
      </c>
      <c r="B10" s="7">
        <v>221850</v>
      </c>
    </row>
    <row r="11" spans="1:2">
      <c r="A11" t="s">
        <v>30</v>
      </c>
      <c r="B11" s="7">
        <v>214200</v>
      </c>
    </row>
    <row r="12" spans="1:2">
      <c r="A12" t="s">
        <v>38</v>
      </c>
      <c r="B12" s="7">
        <v>212500</v>
      </c>
    </row>
    <row r="13" spans="1:2">
      <c r="A13" t="s">
        <v>43</v>
      </c>
      <c r="B13" s="7">
        <v>183600</v>
      </c>
    </row>
    <row r="14" spans="1:2">
      <c r="A14" t="s">
        <v>41</v>
      </c>
      <c r="B14" s="7">
        <v>163200</v>
      </c>
    </row>
    <row r="15" spans="1:2">
      <c r="A15" t="s">
        <v>48</v>
      </c>
      <c r="B15" s="7">
        <v>122400</v>
      </c>
    </row>
    <row r="16" spans="1:2">
      <c r="A16" t="s">
        <v>34</v>
      </c>
      <c r="B16" s="7">
        <v>117300</v>
      </c>
    </row>
    <row r="17" spans="1:2">
      <c r="A17" t="s">
        <v>55</v>
      </c>
      <c r="B17" s="7">
        <v>38250</v>
      </c>
    </row>
    <row r="18" spans="1:2">
      <c r="A18" t="s">
        <v>89</v>
      </c>
      <c r="B18" s="7">
        <v>8168925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RowHeight="14.4"/>
  <cols>
    <col min="1" max="1" width="18" customWidth="1"/>
    <col min="2" max="2" width="19" customWidth="1"/>
    <col min="4" max="5" width="20" customWidth="1"/>
  </cols>
  <sheetData>
    <row r="1" spans="1:5" ht="21.6" customHeight="1">
      <c r="A1" s="10" t="s">
        <v>92</v>
      </c>
      <c r="B1" s="10" t="s">
        <v>85</v>
      </c>
      <c r="D1" s="10" t="s">
        <v>4</v>
      </c>
      <c r="E1" s="10" t="s">
        <v>85</v>
      </c>
    </row>
    <row r="2" spans="1:5">
      <c r="A2" t="s">
        <v>86</v>
      </c>
      <c r="B2" s="7">
        <v>3272000</v>
      </c>
      <c r="D2" t="s">
        <v>13</v>
      </c>
      <c r="E2" s="7">
        <v>2205000</v>
      </c>
    </row>
    <row r="3" spans="1:5">
      <c r="A3" t="s">
        <v>87</v>
      </c>
      <c r="B3" s="7">
        <v>3210500</v>
      </c>
      <c r="D3" t="s">
        <v>33</v>
      </c>
      <c r="E3" s="7">
        <v>2070000</v>
      </c>
    </row>
    <row r="4" spans="1:5">
      <c r="A4" t="s">
        <v>88</v>
      </c>
      <c r="B4" s="7">
        <v>3128000</v>
      </c>
      <c r="D4" t="s">
        <v>46</v>
      </c>
      <c r="E4" s="7">
        <v>1440000</v>
      </c>
    </row>
    <row r="5" spans="1:5">
      <c r="D5" t="s">
        <v>27</v>
      </c>
      <c r="E5" s="7">
        <v>655000</v>
      </c>
    </row>
    <row r="6" spans="1:5">
      <c r="D6" t="s">
        <v>25</v>
      </c>
      <c r="E6" s="7">
        <v>639000</v>
      </c>
    </row>
    <row r="7" spans="1:5">
      <c r="D7" t="s">
        <v>18</v>
      </c>
      <c r="E7" s="7">
        <v>557500</v>
      </c>
    </row>
    <row r="8" spans="1:5">
      <c r="D8" t="s">
        <v>37</v>
      </c>
      <c r="E8" s="7">
        <v>546000</v>
      </c>
    </row>
    <row r="9" spans="1:5">
      <c r="D9" t="s">
        <v>29</v>
      </c>
      <c r="E9" s="7">
        <v>306000</v>
      </c>
    </row>
    <row r="10" spans="1:5">
      <c r="D10" t="s">
        <v>31</v>
      </c>
      <c r="E10" s="7">
        <v>252000</v>
      </c>
    </row>
    <row r="11" spans="1:5">
      <c r="D11" t="s">
        <v>40</v>
      </c>
      <c r="E11" s="7">
        <v>250000</v>
      </c>
    </row>
    <row r="12" spans="1:5">
      <c r="D12" t="s">
        <v>44</v>
      </c>
      <c r="E12" s="7">
        <v>216000</v>
      </c>
    </row>
    <row r="13" spans="1:5">
      <c r="D13" t="s">
        <v>42</v>
      </c>
      <c r="E13" s="7">
        <v>192000</v>
      </c>
    </row>
    <row r="14" spans="1:5">
      <c r="D14" t="s">
        <v>54</v>
      </c>
      <c r="E14" s="7">
        <v>144000</v>
      </c>
    </row>
    <row r="15" spans="1:5">
      <c r="D15" t="s">
        <v>35</v>
      </c>
      <c r="E15" s="7">
        <v>138000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판매데이터</vt:lpstr>
      <vt:lpstr>정제본</vt:lpstr>
      <vt:lpstr>변경 내역</vt:lpstr>
      <vt:lpstr>품목TOP5</vt:lpstr>
      <vt:lpstr>매장월별매출</vt:lpstr>
      <vt:lpstr>농가별정산</vt:lpstr>
      <vt:lpstr>그래프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지호 홍</cp:lastModifiedBy>
  <dcterms:modified xsi:type="dcterms:W3CDTF">2026-10-27T15:42:48Z</dcterms:modified>
</cp:coreProperties>
</file>